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avio.rafael\Desktop\"/>
    </mc:Choice>
  </mc:AlternateContent>
  <xr:revisionPtr revIDLastSave="0" documentId="13_ncr:1_{DD8A7427-B6CD-4443-99C2-7E91ECA7BA2F}" xr6:coauthVersionLast="47" xr6:coauthVersionMax="47" xr10:uidLastSave="{00000000-0000-0000-0000-000000000000}"/>
  <bookViews>
    <workbookView xWindow="-120" yWindow="-120" windowWidth="20730" windowHeight="11040" xr2:uid="{00000000-000D-0000-FFFF-FFFF00000000}"/>
  </bookViews>
  <sheets>
    <sheet name="Paradas Gerais" sheetId="2" r:id="rId1"/>
    <sheet name="Planilha1" sheetId="18" r:id="rId2"/>
    <sheet name="QF-AO - CPHD" sheetId="16" state="hidden" r:id="rId3"/>
    <sheet name="QF-AO - Líquidos" sheetId="6" state="hidden" r:id="rId4"/>
    <sheet name="QF-AO - SPPV" sheetId="15" state="hidden" r:id="rId5"/>
    <sheet name="AJOP SPEP" sheetId="17" state="hidden" r:id="rId6"/>
  </sheets>
  <definedNames>
    <definedName name="_xlnm._FilterDatabase" localSheetId="0" hidden="1">'Paradas Gerais'!$C$3:$J$3</definedName>
    <definedName name="AJUSTES">#REF!</definedName>
    <definedName name="BASE">#REF!</definedName>
    <definedName name="DADOS">#REF!</definedName>
    <definedName name="PARADAS">#REF!</definedName>
    <definedName name="TUR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8" i="18" l="1"/>
  <c r="P7" i="18"/>
  <c r="P6" i="18"/>
  <c r="P5" i="18"/>
  <c r="P4" i="18"/>
  <c r="P3" i="18"/>
  <c r="P2" i="18"/>
  <c r="H8" i="18"/>
  <c r="H7" i="18"/>
  <c r="H6" i="18"/>
  <c r="H5" i="18"/>
  <c r="H4" i="18"/>
  <c r="H3" i="18"/>
  <c r="H2" i="18"/>
  <c r="G8" i="18"/>
  <c r="G7" i="18"/>
  <c r="G6" i="18"/>
  <c r="G5" i="18"/>
  <c r="G4" i="18"/>
  <c r="G3" i="18"/>
  <c r="G2" i="18"/>
</calcChain>
</file>

<file path=xl/sharedStrings.xml><?xml version="1.0" encoding="utf-8"?>
<sst xmlns="http://schemas.openxmlformats.org/spreadsheetml/2006/main" count="1460" uniqueCount="500">
  <si>
    <t>Eventos de Força Maior</t>
  </si>
  <si>
    <t>Início e Fim de Produção</t>
  </si>
  <si>
    <t>Ajuste Operacional</t>
  </si>
  <si>
    <t>Utilidades</t>
  </si>
  <si>
    <t>Controles de Qualidade</t>
  </si>
  <si>
    <t>Pessoas - Não Planejadas</t>
  </si>
  <si>
    <t>Falta de Materiais</t>
  </si>
  <si>
    <t>Refugo</t>
  </si>
  <si>
    <t>Reprocesso</t>
  </si>
  <si>
    <t>Código</t>
  </si>
  <si>
    <t>Classe</t>
  </si>
  <si>
    <t>Natureza</t>
  </si>
  <si>
    <t>Grande Parada</t>
  </si>
  <si>
    <t>Tipo</t>
  </si>
  <si>
    <t>Tampadora</t>
  </si>
  <si>
    <t>Variação de Volume</t>
  </si>
  <si>
    <t>Paradas Planejadas</t>
  </si>
  <si>
    <t>Falta de Colaborador</t>
  </si>
  <si>
    <t>Gestão de Pessoas</t>
  </si>
  <si>
    <t>Troca de Turno</t>
  </si>
  <si>
    <t>Fluxo de Produção</t>
  </si>
  <si>
    <t>CIP/SIP</t>
  </si>
  <si>
    <t>Teste de Filtro</t>
  </si>
  <si>
    <t>Validação e Qualificação</t>
  </si>
  <si>
    <t>Parada Estratégica</t>
  </si>
  <si>
    <t>Parada Não Planejada</t>
  </si>
  <si>
    <t>Setup e Processos</t>
  </si>
  <si>
    <t>Paradas Não Planejadas</t>
  </si>
  <si>
    <t>Aguardando Análise de Amostras</t>
  </si>
  <si>
    <t>Qualidade</t>
  </si>
  <si>
    <t>Performace</t>
  </si>
  <si>
    <t>Pequenas Paradas</t>
  </si>
  <si>
    <t>Paradas Inferiores à 10 Minutos</t>
  </si>
  <si>
    <t>Envasadora</t>
  </si>
  <si>
    <t>SPPV</t>
  </si>
  <si>
    <t>Líquidos Orais</t>
  </si>
  <si>
    <t>CPHD</t>
  </si>
  <si>
    <t>Qualificação na Linha</t>
  </si>
  <si>
    <t>Validação na Linha</t>
  </si>
  <si>
    <t>Falta Matéria Prima</t>
  </si>
  <si>
    <t>Falta Material Embalagem</t>
  </si>
  <si>
    <t>Indisponibilidade Não Planejadas</t>
  </si>
  <si>
    <t>Aguardando Dossiê/RG</t>
  </si>
  <si>
    <t>Interrupção devido Etapa Posterior</t>
  </si>
  <si>
    <t>Falta de Solução/Produto</t>
  </si>
  <si>
    <t>Problemas de Segurança</t>
  </si>
  <si>
    <t xml:space="preserve">Falta de Vapor </t>
  </si>
  <si>
    <t xml:space="preserve">Falta de Ar Comprimido </t>
  </si>
  <si>
    <t xml:space="preserve">Falta de Energia </t>
  </si>
  <si>
    <t>Falha no Sistema HVAC</t>
  </si>
  <si>
    <t>Falta de Água Bruta</t>
  </si>
  <si>
    <t>Falta de WFI (CIP/SIP)</t>
  </si>
  <si>
    <t>Quebra Falha</t>
  </si>
  <si>
    <t>Limpeza e Lubrificação</t>
  </si>
  <si>
    <t>Ajuste na Velocidade de Produção</t>
  </si>
  <si>
    <t>Ajuste Posição de Faca</t>
  </si>
  <si>
    <t>Ajuste Posição dos Bicos</t>
  </si>
  <si>
    <t>Ajuste de Parâmetros de Enchimento</t>
  </si>
  <si>
    <t>Troca de Gaxetas</t>
  </si>
  <si>
    <t>Ajuste Altura da Torre</t>
  </si>
  <si>
    <t>Ajuste Posição de Estrelas</t>
  </si>
  <si>
    <t>Ajuste Posição do Mandril</t>
  </si>
  <si>
    <t>Ajuste Sincronismo de Estrelas</t>
  </si>
  <si>
    <t>Ajuste Roscas</t>
  </si>
  <si>
    <t>Ajuste Posicionador de Copos</t>
  </si>
  <si>
    <t>Troca de Silicone Tampadora</t>
  </si>
  <si>
    <t>Ajuste na Velocidade da Esteira</t>
  </si>
  <si>
    <t>Ajuste Guias de Transporte</t>
  </si>
  <si>
    <t>Ajuste em Sensores</t>
  </si>
  <si>
    <t>Ajuste na Chama dos Maçaricos</t>
  </si>
  <si>
    <t>Ajuste na Peça de Centragem</t>
  </si>
  <si>
    <t>Ajuste na Roda Estrelada</t>
  </si>
  <si>
    <t>Ajuste nas Guias</t>
  </si>
  <si>
    <t>Ajuste nas Pinças</t>
  </si>
  <si>
    <t>Ajuste no Conjunto de Agulhas</t>
  </si>
  <si>
    <t>Ajuste no Conjunto de Maçaricos</t>
  </si>
  <si>
    <t>Ajuste nos Helicoidais</t>
  </si>
  <si>
    <t>Ajuste nos Rolinhos</t>
  </si>
  <si>
    <t>Falha de Rolamentos, Correias, Polias e Engrenagens</t>
  </si>
  <si>
    <t>Travamento Elevador de Frasco</t>
  </si>
  <si>
    <t>Travamento Servo Motor</t>
  </si>
  <si>
    <t>Travamento de Faca</t>
  </si>
  <si>
    <t>Travamento de Esteira</t>
  </si>
  <si>
    <t>Entupimento de Bicos de Enchimento</t>
  </si>
  <si>
    <t>Falha Sistema de Dosagem</t>
  </si>
  <si>
    <t>Travamento de Mandril</t>
  </si>
  <si>
    <t>Quebra de Mola do Expulsador</t>
  </si>
  <si>
    <t>Falha Acoplamento Mandril</t>
  </si>
  <si>
    <t>Falha Bomba de Vácuo</t>
  </si>
  <si>
    <t>Falha de Sensores de Torres</t>
  </si>
  <si>
    <t>Falha em Válvulas do Sistema de Enchimento</t>
  </si>
  <si>
    <t>Falha de Cabos e Componentes de Transmissão</t>
  </si>
  <si>
    <t>Falha de Molas, Pinos e Parafusos</t>
  </si>
  <si>
    <t>Falha de Sensores</t>
  </si>
  <si>
    <t>Falha do Amortecedor do Conjunto das Pinças</t>
  </si>
  <si>
    <t>Falha do Came</t>
  </si>
  <si>
    <t>Falha do Disco de Freio</t>
  </si>
  <si>
    <t>Falha do Motor de Acionamento dos Rolinhos</t>
  </si>
  <si>
    <t>Falha do Motor de Acionamento Principal</t>
  </si>
  <si>
    <t>Falha IHM ou Software Envasadora</t>
  </si>
  <si>
    <t>Falha nos Sensores de Posição de Frascos</t>
  </si>
  <si>
    <t>Travamento de Mandril Tampadora</t>
  </si>
  <si>
    <t>Quebra de Esteira Transportadora de Frasco</t>
  </si>
  <si>
    <t>Quebra de Esteira Transportadora de Bombona</t>
  </si>
  <si>
    <t>Falha de Sensores da Tampadora</t>
  </si>
  <si>
    <t>Quebra do Elevador de Tampas</t>
  </si>
  <si>
    <t>Tampa Presa/Falta de Tampa</t>
  </si>
  <si>
    <t>Batoque Preso/Falta de Batoque</t>
  </si>
  <si>
    <t>Copo Preso/Falta de Copo</t>
  </si>
  <si>
    <t>Ajuste de Parâmetros de Torque</t>
  </si>
  <si>
    <t>Ausência de Espaço na Expedição</t>
  </si>
  <si>
    <t>Falha no Sincronismo de Estrelas</t>
  </si>
  <si>
    <t>Grupo</t>
  </si>
  <si>
    <t>04</t>
  </si>
  <si>
    <t>Geral</t>
  </si>
  <si>
    <t>Rompimento de Cabos de Aço das Pinças</t>
  </si>
  <si>
    <t>10</t>
  </si>
  <si>
    <t>Falha na Válvula Antiretrocesso</t>
  </si>
  <si>
    <t>02 e 10</t>
  </si>
  <si>
    <t>Falha no Conjunto de Bombas de Dosagem</t>
  </si>
  <si>
    <t>Retirada de Ampolas com Defeito do Fabricante</t>
  </si>
  <si>
    <t>02 e 10 e 12</t>
  </si>
  <si>
    <t>Abertura, Modelagem e Fechamento</t>
  </si>
  <si>
    <t>02</t>
  </si>
  <si>
    <t>11</t>
  </si>
  <si>
    <t>Helicoidal de Entreda, Abertura e Estrelas</t>
  </si>
  <si>
    <t>Fechamento</t>
  </si>
  <si>
    <t>Dosagem</t>
  </si>
  <si>
    <t>Ajuste em Sensor de Entrada</t>
  </si>
  <si>
    <t xml:space="preserve">Helocoidal </t>
  </si>
  <si>
    <t>Saída</t>
  </si>
  <si>
    <t>Ajuste no Sensor de Chama</t>
  </si>
  <si>
    <t>Aberura e Fechamento</t>
  </si>
  <si>
    <t>Estação de Dosagem</t>
  </si>
  <si>
    <t>Descrição de Lote</t>
  </si>
  <si>
    <t>01</t>
  </si>
  <si>
    <t>03</t>
  </si>
  <si>
    <t>05</t>
  </si>
  <si>
    <t>06</t>
  </si>
  <si>
    <t>07</t>
  </si>
  <si>
    <t>08</t>
  </si>
  <si>
    <t>09</t>
  </si>
  <si>
    <t>Esteira de Entrada</t>
  </si>
  <si>
    <t>Helicoidal de Entrada</t>
  </si>
  <si>
    <t>Estação de Abertura de Ampola</t>
  </si>
  <si>
    <t>Estação de Pré/Pós Gaseificação</t>
  </si>
  <si>
    <t>Distribuidor/Tanque Intermediário</t>
  </si>
  <si>
    <t>Estação de Fechamento de Ampolas</t>
  </si>
  <si>
    <t>Estrelas e Guia de Saída</t>
  </si>
  <si>
    <t>Estação de Moldagem</t>
  </si>
  <si>
    <t>Abastecimento de Frascos</t>
  </si>
  <si>
    <t>Torre de Tampa</t>
  </si>
  <si>
    <t>Torre de Batoque</t>
  </si>
  <si>
    <t>Torre de Copo</t>
  </si>
  <si>
    <t>Esteiras e Estrelas</t>
  </si>
  <si>
    <t>Falha no Pistão de Doseamento</t>
  </si>
  <si>
    <t>Falha nos Sensores de Posição de Bombonas</t>
  </si>
  <si>
    <t>Falha no Sincronismo do Mandril Tampadora</t>
  </si>
  <si>
    <t>Falha no Sincronismo da Estrela</t>
  </si>
  <si>
    <t>Ajuste Posição de Garras</t>
  </si>
  <si>
    <t>Travamento de Faca/Frasco Enroscado</t>
  </si>
  <si>
    <t>Falha no Sensor de Portas</t>
  </si>
  <si>
    <t>Falha no Inversor de Frequência Envasadora</t>
  </si>
  <si>
    <t>Falha no Inversor de Frequência Tampadora</t>
  </si>
  <si>
    <t>AVALIAR INCLUIR UMA PARADA ESPEQUECIFICA PARA QUEBRA FAALHAS DE ROTULADORA</t>
  </si>
  <si>
    <t>Apontamento</t>
  </si>
  <si>
    <t>Produto Inconforme (Perda)</t>
  </si>
  <si>
    <t>Refeições</t>
  </si>
  <si>
    <t>Falta de Internet/Sistemas</t>
  </si>
  <si>
    <t>Descrição</t>
  </si>
  <si>
    <t>Ampola Deformada</t>
  </si>
  <si>
    <t>Ampola Quebrada</t>
  </si>
  <si>
    <t>Paradas de Produção para remoção de Ampolas com Ausência de Gravação. Essa não conformidade ocorre quando a ampola não apresenta falha ou nenhuma marcação, seja ela numérica, alfanumérica ou um símbolo.</t>
  </si>
  <si>
    <t>Paradas de Produção para remoção de ampolas com rachaduras ou completamente quebradas durante o processo produtivo.</t>
  </si>
  <si>
    <t>Ampola Arranhada</t>
  </si>
  <si>
    <t>Paradas de Produção para remoção ou correção de ampolas que apresentam arranhões na superfície externa.</t>
  </si>
  <si>
    <t>Ampola com Falha na Gravação</t>
  </si>
  <si>
    <t>Ampola com Variação de Volume</t>
  </si>
  <si>
    <t>Paradas de Produção para remoção ou correção de ampolas com quantidade de solução fora do especificado.</t>
  </si>
  <si>
    <t>Ampola com Fragmento de Vidro</t>
  </si>
  <si>
    <t>Paradas de Produção para remoção ou correção de ampolas com presença de fragmentos de vidro na solução.</t>
  </si>
  <si>
    <t>Ampola com Partícula Estranha na Solução</t>
  </si>
  <si>
    <t>Paradas de Produção para remoção ou correção de ampolas com presença de partículas estranhas, não dissolvidas e móveis além das bolhas de gás e que se encontram involuntariamente dentro das soluções.</t>
  </si>
  <si>
    <t>Paradas de Produção para remoção ou correção de ampolas com não conformidade ocasionada por resquícios de vidro carbonizado na ampola.</t>
  </si>
  <si>
    <t>Paradas de Produção para remoção ou correção de ampolas com fiapo (deformação na ponta da ampola ocasionado por falha no fechamento) ou com má formação na ponta da ampola.</t>
  </si>
  <si>
    <t>Carbonização/Ponto</t>
  </si>
  <si>
    <t>Vazamento/Fissura</t>
  </si>
  <si>
    <t>Deformação/Má Formação</t>
  </si>
  <si>
    <t>Inconformidade Tampa</t>
  </si>
  <si>
    <t>Cor/Limpidez</t>
  </si>
  <si>
    <t>Fragmentos</t>
  </si>
  <si>
    <t>Alça</t>
  </si>
  <si>
    <t>SPEP</t>
  </si>
  <si>
    <t>Paradas de Produção para remoção ou correção de Frascos-Ampolas e ampolas plásticas com presença de materiais plásticos carbonizados (queimados)</t>
  </si>
  <si>
    <t>Paradas de Produção para remoção ou correção  de Frascos-Ampolas e ampolas plásticas que apresentam ruptura/rompimento do material plástico ocasionando vazamento de solução.</t>
  </si>
  <si>
    <t>Paradas de Produção para remoção ou correção de Frascos-Ampolas e ampolas plásticas que apresentam alterações na forma e/ou nas suas dimensões, resultando em configurações fora do aspecto original. Apresentam-se com excesso de material plástico (rebarba na estrutura interna e/ou externa do frasco/ampola) e/ou com espessuras inferiores a faixa de especificação preestabelecida (parede finas em comparação a espessura habitual) em virtude de má distribuição de material.</t>
  </si>
  <si>
    <t>Paradas de Produção para remoção ou correção de Frascos-Ampolas e ampolas plásticas com falhas em suas respectivas tampas, como por exemplo: solda de tampas, ausência de tampas e problemas nos lacres que ocasionem a exposição do elastômero.</t>
  </si>
  <si>
    <t>Paradas de Produção para remoção ou correção de Frascos-Ampolas e ampolas plásticas que apresentam coloração divergente do aspecto original da solução.</t>
  </si>
  <si>
    <t>Paradas de Produção para remoção ou correção de Frascos-Ampolas e ampolas plásticas que apresentam presença de materiais estranhos dentro da solução.</t>
  </si>
  <si>
    <t>Paradas de Produção para remoção ou correção de Frascos-Ampolas apresentam destaque parcial ou ausência de alça, comprometendo a utilização dos mesmos.</t>
  </si>
  <si>
    <t>LÍQUIDOS</t>
  </si>
  <si>
    <t>Ampola com Carbonização</t>
  </si>
  <si>
    <t>Ampola com Falha no Fechamento</t>
  </si>
  <si>
    <t>Paradas de Produção para remoção de Ampolas Deformadas. Essa não conformidade ocorre quando a ampola apresenta uma deformação física que não permite que ela mantenha sua forma original. Esse problema geralmente é causado por falhas no processo de fabricação da ampola por parte do fornecedor.</t>
  </si>
  <si>
    <t>Paradas de Produção para remoção de Material de Embalagem Deformados. Essa não conformidade ocorre quando frascos, batoques, tampas ou copos  apresentam uma deformação física que não permite que ela mantenha sua forma original. Esse problema geralmente é causado por falhas no processo de fabricação do item por parte do fornecedor.</t>
  </si>
  <si>
    <t>Paradas de Produção para remoção de Material de Embalagem Carbonizados ou com pontos. Essa não conformidade ocorre quando frascos, batoques, tampas ou copos  apresentam carbonização ou pontos. Esse problema geralmente é causado por falhas no processo de fabricação do item por parte do fornecedor.</t>
  </si>
  <si>
    <t>Paradas de Produção para remoção ou correção de Frascos-Ampolas e ampolas plásticas que apresentam quantidade de solução fora do especificado.</t>
  </si>
  <si>
    <t>Paradas de Produção para remoção de Bombonas ou Tampas Deformadas. Essa não conformidade ocorre quando bombonas ou tampas ou copos  apresentam uma deformação física que não permite que ela mantenha sua forma original. Esse problema geralmente é causado por falhas no processo de fabricação do item por parte do fornecedor.</t>
  </si>
  <si>
    <t>Paradas de Produção para remoção de Material de Embalagem Carbonizados ou com pontos. Essa não conformidade ocorre quando bombonas ou tampas apresentam carbonização ou pontos. Esse problema geralmente é causado por falhas no processo de fabricação do item por parte do fornecedor.</t>
  </si>
  <si>
    <t>Paradas de Produção para remoção ou correção de Bombonas que apresentam ruptura/rompimento de um ou mais componentes ocasionando vazamentos.</t>
  </si>
  <si>
    <t>Paradas de Produção para remoção ou correção Bombonas que apresentam  com falhas em suas tampas como por exemplo: encaixe ou rosqueamento de tampas, ausência de tampas e problemas nos lacres que ocasionem a exposição do produto.</t>
  </si>
  <si>
    <t>Paradas de Produção para remoção ou correção de Bombonas que apresentam coloração divergente do aspecto original da solução.</t>
  </si>
  <si>
    <t>Paradas de Produção para remoção ou correção de Bombonas que apresentam presença de materiais estranhos dentro da solução.</t>
  </si>
  <si>
    <t>Paradas de Produção para remoção ou correção de Bombonas que apresentam quantidade de solução fora do especificado.</t>
  </si>
  <si>
    <t>Paradas de Produção para remoção ou correção de  Frascos que apresentam ruptura/rompimento de um ou mais componentes ocasionando vazamentos.</t>
  </si>
  <si>
    <t>Paradas de Produção para remoção ou correção de Frascos que apresentam  com falhas em suas tampas ou batoques, como por exemplo: encaixe ou rosqueamento de tampas/batoque, ausência de tampas/batoque e problemas nos lacres que ocasionem a exposição do produto.</t>
  </si>
  <si>
    <t>Paradas de Produção para remoção ou correção de Frascos que apresentam coloração divergente do aspecto original da solução.</t>
  </si>
  <si>
    <t>Paradas de Produção para remoção ou correção de Frascos que apresentam presença de materiais estranhos dentro da solução.</t>
  </si>
  <si>
    <t>Paradas de Produção para remoção ou correção de Frascos que apresentam quantidade de solução fora do especificado.</t>
  </si>
  <si>
    <t>Ajuste Operacional - SPEP</t>
  </si>
  <si>
    <t>Ajuste Operacional - SPPV</t>
  </si>
  <si>
    <t>Ajuste Operacional - CPHD</t>
  </si>
  <si>
    <t>Ajuste Operacional - Líquidos Orais</t>
  </si>
  <si>
    <t>Sem Programação PMP</t>
  </si>
  <si>
    <t>Componente</t>
  </si>
  <si>
    <t>Disponibilidade</t>
  </si>
  <si>
    <t>Painel Elétrico</t>
  </si>
  <si>
    <t>Sistema de Extrusão</t>
  </si>
  <si>
    <t>Sistema de Moldagem</t>
  </si>
  <si>
    <t>Mandril de Sopro/Envase</t>
  </si>
  <si>
    <t>Sistema de Distribuição de Frascos</t>
  </si>
  <si>
    <t>Quadro de Assepsia</t>
  </si>
  <si>
    <t>Quadro de Dospositivos 1</t>
  </si>
  <si>
    <t>Unidade de Transporte de Frascos</t>
  </si>
  <si>
    <t>Sistema De Elevação de Frascos</t>
  </si>
  <si>
    <t>Conjunto de Carregamento de Tampas</t>
  </si>
  <si>
    <t>Carro do Espelho de Aquecimento</t>
  </si>
  <si>
    <t>Pinça de Fechamento das Tampas</t>
  </si>
  <si>
    <t>Unidade de Evacuação de Frascos</t>
  </si>
  <si>
    <t>Esteira de Saída de Frascos</t>
  </si>
  <si>
    <t>Quadro Pneumático Principal</t>
  </si>
  <si>
    <t>Quadro Elétrico</t>
  </si>
  <si>
    <t>Quebra Falha - CPHD</t>
  </si>
  <si>
    <t>Quebra Falha - Líquidos Orais</t>
  </si>
  <si>
    <t>Quebra Falha - SPPV</t>
  </si>
  <si>
    <t>Quebra Falha - SPEP</t>
  </si>
  <si>
    <t>Indisponibilidade</t>
  </si>
  <si>
    <t>Parada programada da produção, por falta de demanda ou atingimento do PMP. Esta parada inclui por exemplo, Turno não Planejado, Domingos, Feriados, Atingimento do PMP antes do planejado, etc.</t>
  </si>
  <si>
    <t>Paradas causadas por eventos imprevisíveis e incontroláveis, externo à Farmace, como desastres naturais, incêndios, enchentes ou decisões governamentais que impeçam a produção.</t>
  </si>
  <si>
    <t>Manutenção Planejada</t>
  </si>
  <si>
    <t>Parada programada de produção para atendimento à regulação do segmento do negócio. Esta parada inclui por exemplo, Certificação e Qualificação de Áreas, Desenvolvimento de novos produtos ou equipamentos, etc.</t>
  </si>
  <si>
    <t>Atendimento Regulatório e Inovação</t>
  </si>
  <si>
    <t>Fim Produção</t>
  </si>
  <si>
    <t>Início de Produção</t>
  </si>
  <si>
    <t>Troca de Formato/Produto</t>
  </si>
  <si>
    <t>Paradas Prevista em PMP, necessária para o preparo inicial da produção, incluindo aquecimento de equipamentos e ajustes operacionais de partida de linha. Deve ser apontado após cada retorno de produção. Ex: Troca de Lote, Retorno de Refeição, Troca de Turno e Início pós CIP/SIP.</t>
  </si>
  <si>
    <t>Paradas Prevista em PMP ao término da produção para limpeza, organização e liberação da área, assegurando conformidade com normas de qualidade e para sequência da operação.</t>
  </si>
  <si>
    <t>Paradas Prevista em PMP para Limpeza e sanitização automática dos sistemas de produção (Cleaning/Sterilization in Place), obrigatória entre campanhas de mesmo produto, sem a necessidade de mudança de SKU para atendimento do PMP.</t>
  </si>
  <si>
    <t>Paradas Prevista em PMP, fora do CIP/SIP, para verificação obrigatória da integridade dos filtros utilizados no processo produtivo, garantindo esterilidade e conformidade com padrões de qualidade.</t>
  </si>
  <si>
    <t>Paradas Prevista em PMP para substituir componentes específicos das máquinas, como moldes ou formatos, a fim de adequá-las a novos produtos ou apresentações. Além de Limpeza e Sanitização com mudança de produto, com objetivo de atendimento do PMP.</t>
  </si>
  <si>
    <t>Limpeza Planejada de Componentes</t>
  </si>
  <si>
    <t>Paradas Prevista em PMP, durante processo produtivo, para cumpir processo de circulação de água nos moldes, limpeza de canais de vácuo e outros elementos, previsto em procedimento, para garantir a estabilidade térmica e o correto funcionamento da produção. Essencial para assegurar a qualidade dos produtos envasados.</t>
  </si>
  <si>
    <t>Paradas Prevista em PMP para realizar Manutenções Preventivas (Plano 52Semanas) e Corretivas Planejadas (Correções de problemas sem necessidade de intervenções emergenciais). Envolve Manutenções na Linha Produtiva (Preparação, Envase e Embalagem), Utilidades ou Estrutural, incluindo Reformas e Construção.</t>
  </si>
  <si>
    <t>Paradas Prevista em PM para Atividades de qualificação formal da linha de produção, assegurando que os equipamentos e processos operam conforme os critérios estabelecidos</t>
  </si>
  <si>
    <t>Paradas Prevista em PMP para Processo de validação documental e prática dos sistemas produtivos para garantir reprodutibilidade, segurança e conformidade regulatória. Envolve todas as ações referentes a Validação, incluindo CIP/SIP, Paradas devido Tempo de Processo, Coleta de Amostras, etc.</t>
  </si>
  <si>
    <t>Paradas Prevista em PMP dedicadas ao desenvolvimento de pessoal, através de treinamentos técnicos, reuniões de alinhamento ou eventos internos obrigatórios.</t>
  </si>
  <si>
    <t>Falha Sistema de Água Gelada</t>
  </si>
  <si>
    <t>Parada não planejada acima de 10 Minutos  causada por falhas no sistema de água gelada que alimenta as linhas produtivas.</t>
  </si>
  <si>
    <t>Parada não planejada acima de 10 Minutos devido interrupção do fornecimento elétrico externo ou interno, impossibilitando a operação de máquinas e sistemas essenciais à produção.</t>
  </si>
  <si>
    <t>Parada não planejada acima de 10 Minutos devido falta de conexão de rede, comprometendo sistemas informatizados ou integrados à operação produtiva.</t>
  </si>
  <si>
    <t>Parada não planejada acima de 10 Minutos devido tempo de espera pela liberação de análises laboratoriais que autorizam a continuidade da produção ou início de novas etapas. Incluído tempo entre comunicação dos laboratórios e logística de entrega de etiquetas.</t>
  </si>
  <si>
    <t>Parada não planejada acima de 10 Minutos devido atraso ou impossibilidade de continuar o processo em etapas posteriores, gerando retenção da produção atual. Envolvem problemas em autoclaves, falta de bandeja, falta de magazine, interrupções na embalagem, problemas com esteiras de saída de envase, etc.</t>
  </si>
  <si>
    <t>Parada não planejada acima de 10 Minutos devido impossibilidade de prosseguir com a produção pela falta de espaço físico para armazenar ou expedir os produtos acabados.</t>
  </si>
  <si>
    <t>Parada não planejada acima de 10 Minutos devido ausência de colaboradores, operadores ou técnicos essenciais ao processo, seja por falta, atraso ou indisponibilidade imprevista.</t>
  </si>
  <si>
    <t>Parada não planejada acima de 10 Minutos entre os turnos de trabalho, utilizada para passagem de informações e revezamento de equipe na linha.</t>
  </si>
  <si>
    <t>Parada não planejada acima de 10 Minutos devido período de refeições dos colaboradores, sem operação produtiva no intervalo.</t>
  </si>
  <si>
    <t>Parada não planejada acima de 10 Minutos  para remoção ou correção de Frascos-Ampolas e ampolas plásticas com presença de materiais plásticos carbonizados (queimados)</t>
  </si>
  <si>
    <t>Parada não planejada acima de 10 Minutos para remoção ou correção  de Frascos-Ampolas e ampolas plásticas que apresentam ruptura/rompimento do material plástico ocasionando vazamento de solução.</t>
  </si>
  <si>
    <t>Parada não planejada acima de 10 Minutos para remoção ou correção de Frascos-Ampolas e ampolas plásticas que apresentam alterações na forma e/ou nas suas dimensões, resultando em configurações fora do aspecto original. Apresentam-se com excesso de material plástico (rebarba na estrutura interna e/ou externa do frasco/ampola) e/ou com espessuras inferiores a faixa de especificação preestabelecida (parede finas em comparação a espessura habitual) em virtude de má distribuição de material.</t>
  </si>
  <si>
    <t>Parada não planejada acima de 10 Minutos para remoção ou correção de Frascos-Ampolas e ampolas plásticas com falhas em suas respectivas tampas, como por exemplo: solda de tampas, ausência de tampas e problemas nos lacres que ocasionem a exposição do elastômero.</t>
  </si>
  <si>
    <t>Parada não planejada acima de 10 Minutos para remoção ou correção de Frascos-Ampolas e ampolas plásticas que apresentam coloração divergente do aspecto original da solução.</t>
  </si>
  <si>
    <t>Parada não planejada acima de 10 Minutos para remoção ou correção de Frascos-Ampolas e ampolas plásticas que apresentam presença de materiais estranhos dentro da solução.</t>
  </si>
  <si>
    <t>Parada não planejada acima de 10 Minutos para remoção ou correção de Frascos-Ampolas apresentam destaque parcial ou ausência de alça, comprometendo a utilização dos mesmos.</t>
  </si>
  <si>
    <t>Parada não planejada acima de 10 Minutos para remoção ou correção de Frascos-Ampolas e ampolas plásticas que apresentam quantidade de solução fora do especificado.</t>
  </si>
  <si>
    <t>Parada não planejada acima de 10 Minutos para remoção de Ampolas Deformadas. Essa não conformidade ocorre quando a ampola apresenta uma deformação física que não permite que ela mantenha sua forma original. Esse problema geralmente é causado por falhas no processo de fabricação da ampola por parte do fornecedor.</t>
  </si>
  <si>
    <t>Parada não planejada acima de 10 Minutos para remoção de Ampolas com Ausência de Gravação. Essa não conformidade ocorre quando a ampola não apresenta falha ou nenhuma marcação, seja ela numérica, alfanumérica ou um símbolo.</t>
  </si>
  <si>
    <t>Parada não planejada acima de 10 Minutos para remoção de ampolas com rachaduras ou completamente quebradas durante o processo produtivo.</t>
  </si>
  <si>
    <t>Parada não planejada acima de 10 Minutos para remoção ou correção de ampolas que apresentam arranhões na superfície externa.</t>
  </si>
  <si>
    <t>Parada não planejada acima de 10 Minutos para remoção ou correção de ampolas com quantidade de solução fora do especificado.</t>
  </si>
  <si>
    <t>Parada não planejada acima de 10 Minutos para remoção ou correção de ampolas com presença de fragmentos de vidro na solução.</t>
  </si>
  <si>
    <t>Parada não planejada acima de 10 Minutos para remoção ou correção de ampolas com presença de partículas estranhas, não dissolvidas e móveis além das bolhas de gás e que se encontram involuntariamente dentro das soluções.</t>
  </si>
  <si>
    <t>Parada não planejada acima de 10 Minutos para remoção ou correção de ampolas com não conformidade ocasionada por resquícios de vidro carbonizado na ampola.</t>
  </si>
  <si>
    <t>Parada não planejada acima de 10 Minutos para remoção ou correção de ampolas com fiapo (deformação na ponta da ampola ocasionado por falha no fechamento) ou com má formação na ponta da ampola.</t>
  </si>
  <si>
    <t>Parada não planejada acima de 10 Minutos para remoção de Bombonas ou Tampas Deformadas. Essa não conformidade ocorre quando bombonas ou tampas ou copos  apresentam uma deformação física que não permite que ela mantenha sua forma original. Esse problema geralmente é causado por falhas no processo de fabricação do item por parte do fornecedor.</t>
  </si>
  <si>
    <t>Parada não planejada acima de 10 Minutos para remoção de Material de Embalagem Carbonizados ou com pontos. Essa não conformidade ocorre quando bombonas ou tampas apresentam carbonização ou pontos. Esse problema geralmente é causado por falhas no processo de fabricação do item por parte do fornecedor.</t>
  </si>
  <si>
    <t>Parada não planejada acima de 10 Minutos para remoção ou correção de Bombonas que apresentam ruptura/rompimento de um ou mais componentes ocasionando vazamentos.</t>
  </si>
  <si>
    <t>Parada não planejada acima de 10 Minutos para remoção ou correção Bombonas que apresentam  com falhas em suas tampas como por exemplo: encaixe ou rosqueamento de tampas, ausência de tampas e problemas nos lacres que ocasionem a exposição do produto.</t>
  </si>
  <si>
    <t>Parada não planejada acima de 10 Minutos para remoção ou correção de Bombonas que apresentam coloração divergente do aspecto original da solução.</t>
  </si>
  <si>
    <t>Parada não planejada acima de 10 Minutos para remoção ou correção de Bombonas que apresentam presença de materiais estranhos dentro da solução.</t>
  </si>
  <si>
    <t>Parada não planejada acima de 10 Minutos para remoção ou correção de Bombonas que apresentam quantidade de solução fora do especificado.</t>
  </si>
  <si>
    <t>Parada não planejada acima de 10 Minutos para remoção de Material de Embalagem Deformados. Essa não conformidade ocorre quando frascos, batoques, tampas ou copos  apresentam uma deformação física que não permite que ela mantenha sua forma original. Esse problema geralmente é causado por falhas no processo de fabricação do item por parte do fornecedor.</t>
  </si>
  <si>
    <t>Parada não planejada acima de 10 Minutos para remoção de Material de Embalagem Carbonizados ou com pontos. Essa não conformidade ocorre quando frascos, batoques, tampas ou copos  apresentam carbonização ou pontos. Esse problema geralmente é causado por falhas no processo de fabricação do item por parte do fornecedor.</t>
  </si>
  <si>
    <t>Parada não planejada acima de 10 Minutos para remoção ou correção de  Frascos que apresentam ruptura/rompimento de um ou mais componentes ocasionando vazamentos.</t>
  </si>
  <si>
    <t>Parada não planejada acima de 10 Minutos para remoção ou correção de Frascos que apresentam  com falhas em suas tampas ou batoques, como por exemplo: encaixe ou rosqueamento de tampas/batoque, ausência de tampas/batoque e problemas nos lacres que ocasionem a exposição do produto.</t>
  </si>
  <si>
    <t>Parada não planejada acima de 10 Minutos para remoção ou correção de Frascos que apresentam coloração divergente do aspecto original da solução.</t>
  </si>
  <si>
    <t>Parada não planejada acima de 10 Minutos para remoção ou correção de Frascos que apresentam presença de materiais estranhos dentro da solução.</t>
  </si>
  <si>
    <t>Parada não planejada acima de 10 Minutos para remoção ou correção de Frascos que apresentam quantidade de solução fora do especificado.</t>
  </si>
  <si>
    <t>Parada não planejada acima de 10 Minutos no equipamento responsável por realizar o enchimento automático das bombonas com a solução de hemodiálise, dosando volumes precisos de produto conforme especificações do processo.</t>
  </si>
  <si>
    <t>Parada não planejada acima de 10 Minutos no equipamento responsável por posicionar e aplicar as tampas nas bombonas após o envase, garantindo o fechamento adequado e a integridade da embalagem.</t>
  </si>
  <si>
    <t>Parada não planejada acima de 10 Minutos no conjunto de sistemas mecânicos de transporte e indexação. As esteiras movem as bombonas entre as etapas do processo de forma linear, enquanto as estrelas realizam o posicionamento rotativo ou sincronizado das embalagens entre estações da linha.</t>
  </si>
  <si>
    <t>Parada não planejada acima de 10 Minutos na unidade central que abriga os componentes elétricos e eletrônicos responsáveis pelo controle e alimentação dos equipamentos da linha, como CLPs, disjuntores, relés, fontes e IHM.</t>
  </si>
  <si>
    <t>Parada não planejada acima de 10 Minutos no Sistema responsável por alimentar automaticamente a linha de produção com frascos vazios, organizando e posicionando-os para o início do processo de envase.</t>
  </si>
  <si>
    <t>Parada não planejada acima de 10 Minutos no equipamento responsável por realizar o enchimento automático dos frascos, dosando volumes precisos de produto conforme especificações do processo.</t>
  </si>
  <si>
    <t>Parada não planejada acima de 10 Minutos no equipamento da linha que insere o batoque (gotejador) no frasco após o envase, garantindo o posicionamento correto do componente.</t>
  </si>
  <si>
    <t>Parada não planejada acima de 10 Minutos no equipamento responsável por posicionar e aplicar a tampa sobre o frasco, realizando o fechamento hermético necessário para garantir a integridade do produto.</t>
  </si>
  <si>
    <t>Parada não planejada acima de 10 Minutosno equipamento responsável por posicionar e aplicar a copo sobre o frasco já com tampa.</t>
  </si>
  <si>
    <t>Parada não planejada acima de 10 Minutos no conjunto de sistemas mecânicos de transporte e indexação. As esteiras movem os frascos entre as etapas do processo de forma linear, enquanto as estrelas realizam o posicionamento rotativo ou sincronizado das embalagens entre estações da linha.</t>
  </si>
  <si>
    <t>Parada não planejada acima de 10 Minutos no Sistema de transporte que alimenta a linha com ampolas vazias, conduzindo-as até o início do processo produtivo de forma contínua e organizada.</t>
  </si>
  <si>
    <t>Parada não planejada acima de 10 Minutos no Mecanismo que realiza a separação e o espaçamento individual das ampolas provenientes da esteira de entrada, garantindo o sincronismo necessário para o ingresso preciso nas estações subsequentes da máquina.</t>
  </si>
  <si>
    <t>Parada não planejada acima de 10 Minutos na Estação responsável pela remoção controlada da ponta da ampola de vidro, criando uma abertura precisa para posterior envase, sem comprometer a integridade da ampola.</t>
  </si>
  <si>
    <t>Parada não planejada acima de 10 Minutos na Estação que realiza o ajuste térmico e modelagem da abertura da ampola, preparando sua geometria para receber o líquido e posteriormente ser fechada com segurança.</t>
  </si>
  <si>
    <t xml:space="preserve">Parada não planejada acima de 10 Minutos na Estação que realiza a injeção de gás inerte (como nitrogênio) antes e/ou após o envase. </t>
  </si>
  <si>
    <t>Parada não planejada acima de 10 Minutos na Estação que realiza o envase preciso do produto estéril no interior das ampolas, utilizando sistemas volumétricos calibrados para atender às especificações de dosagem do medicamento.</t>
  </si>
  <si>
    <t>Parada não planejada acima de 10 Minutos no Reservatório localizado entre o sistema de preparo e a máquina de envase, responsável por garantir o suprimento contínuo e controlado do líquido à estação de dosagem, mantendo pressão e volume adequados.</t>
  </si>
  <si>
    <t>Parada não planejada acima de 10 Minutos na Estação da máquina que executa o fechamento térmico da ampola após o envase, fundindo a ponta superior de vidro por meio de chama controlada para garantir o fechamento asséptico.</t>
  </si>
  <si>
    <t>Parada não planejada acima de 10 Minutos no Conjunto de sistemas mecânicos que realiza a movimentação precisa das ampolas entre as estações da máquina (estrelas) e sua condução ao final da linha após o fechamento (guia de saída), assegurando o transporte seguro e ordenado.</t>
  </si>
  <si>
    <t>Parada não planejada acima de 10 Minutos no Sistema responsável pela plastificação do PEBD e formação dos parisons que darão origem aos frascos. Envolve: Moega de Granulado, Extrusora, Cabeçote, Sistema de Hidraulico de Elevação e Termoregulador da Extrusora.</t>
  </si>
  <si>
    <t>Parada não planejada acima de 10 Minutos no Sistema que executa a moldagem dos parisons em frascos por meio do fechamento dos moldes e cortes do excesso de material. Envolve: Conjunto de Fechamento do Molde, Conjunto Swivel, Conjunto de Corte do Parison, Conjunto de Extração de Frascos, Punção de Rebarba Superior e Inferior.</t>
  </si>
  <si>
    <t>Parada não planejada acima de 10 Minutos no Sistema responsável por soprar o parison contra o molde formando o frasco e imediatamente envasar o produto estéril em seu interior. Envolve: Conjunto de Elevação do Mandril, Conjunto de Sopro/Enchimento, Tanque Sob Pressão - Produto, Válvulas de Dosagem e Conjunto da ASR.</t>
  </si>
  <si>
    <t>Parada não planejada acima de 10 Minutos no Sistema que faz a transferência dos frascos prontos do ambiente asséptico para as próximas etapas da linha de produção, mantendo o alinhamento e ritmo. Envolve: Garra Horizontal (Lado Esquerdo - Unidade de Transferência), Garra Vertical (Lado Esquerdo - Unidade de Transferência), Unidade de Transferência (Lado Esquerdo - Lado Direito), Garra Horizontal (Lado Direito - SM), Garra Vertical (Lado Direito - SM), Garra Horizontal (Unidade de Transferência - SM), Garra Vertical (Unidade de Transferência - SM).</t>
  </si>
  <si>
    <t>Parada não planejada acima de 10 Minutos no Painel que integra os componentes de filtragem e assepsia do ar e vapor utilizados no processo para manter o ambiente interno estéril. Envolve: Filtro de Produto, Filtro do Ar Intermediário, Filtro do Ar de Sopro e de Apoio, Filtro da ASR, Filtro de Vapor Estéril, Filtro Pré-regulador e Recipiente Prévio Saída de Exaustão.</t>
  </si>
  <si>
    <t>Parada não planejada acima de 10 Minutos no Sistema que Agrupa os módulos auxiliares essenciais ao funcionamento da máquina como vácuo, lubrificação, resfriamento, ar comprimido e hidráulico. Envolve: Unidade Hidraulica, Conjunto de Vácuo, Filtro de Exaustão Ar Estéril, Soprador ASR, Exaustor de Resíduos do Quadro, Exaustor do Cabeçote da Extrusora, Bloco de Válvulas Pneumáticas, Bomba de Lubrificação Central, Bomba de Refrigeração do Mandril, Trocador de Calor da Refrigeração do Mandril, Unidade de Tratamento de Ar Principal, Unidade de Tratamento de Ar Secundária, Unidade de Resfriamento do Mandril, Unidade de Regulagem de Temperatura de Água Gelada, Reguladora de Pressão - BB de Vácuo.</t>
  </si>
  <si>
    <t>Parada não planejada acima de 10 Minutos no Sistema que transporta os frascos moldados até as próximas etapas da linha, assegurando ritmo e posicionamento. Envolve: Servo-eixo Pneumático, Garra de Transporte 1 e Garra de Transporte 2.</t>
  </si>
  <si>
    <t>Parada não planejada acima de 10 Minutos no Sistema que realiza a elevação e reposicionamento dos frascos conforme necessidade da linha. Envolve: Console e Suporte do Frasco.</t>
  </si>
  <si>
    <t>Parada não planejada acima de 10 Minutos no Sistema que Executa a alimentação automatizada das tampas para os frascos moldados. Envolve: Batente das Tampas, Transportador Linear, Trilho de Carregamento e Estação de Transferência.</t>
  </si>
  <si>
    <t>Parada não planejada acima de 10 Minutos no Módulo responsável por posicionar e aquecer o espelho térmico que realiza a selagem da embalagem. Envolve: Espelho de Aquecimento, Cilindro do Elemento de Aquecimento e Elemento de Aquecimento do Carro.</t>
  </si>
  <si>
    <t xml:space="preserve">Parada não planejada acima de 10 Minutos no Sistema que executa o fechamento físico e mecânico das tampas aplicadas nos frascos. </t>
  </si>
  <si>
    <t>Parada não planejada acima de 10 Minutos no Sistema que retira os frascos rejeitados ou não conformes do fluxo produtivo. Envolve: Unidade de Deslocamento e Garra Paralela.</t>
  </si>
  <si>
    <t>Parada não planejada acima de 10 Minutos no elemento que transporta os frascos finalizados para os próximos processos da produção (inspeção, rotulagem, empacotamento).</t>
  </si>
  <si>
    <t>Parada não planejada acima de 10 Minutos no Painel que abriga e regula os circuitos de ar comprimido utilizados nos sistemas pneumáticos da máquina</t>
  </si>
  <si>
    <t>Parada não planejada acima de 10 Minutos devido falha no sistema de climatização (HVAC).</t>
  </si>
  <si>
    <t>Parada não planejada acima de 10 Minutos devido falha no abastecimento de ar comprimido industrial.</t>
  </si>
  <si>
    <t>Parada não planejada acima de 10 Minutos devido falha no abastecimento de vapor necessário para processos térmicos.</t>
  </si>
  <si>
    <t>Parada não planejada acima de 10 Minutos devido falha no abastecimento de água não tratada utilizada em utilidades ou processos de produção indiretos.</t>
  </si>
  <si>
    <t>Parada não planejada acima de 10 Minutos devido falta de água para injetáveis (WFI), necessária para sanitização, limpeza e processos em áreas estéreis.</t>
  </si>
  <si>
    <t>Parada não planejada acima de 10 Minutos devido ausência de abastecimento de semi-acabados (solução intermediária ou produto envasado).</t>
  </si>
  <si>
    <t>Falta de Gases</t>
  </si>
  <si>
    <t>Parada não planejada acima de 10 Minutos devido falha no abastecimento de gases necessário para processos produtivos (nitrogênio, oxigênio, GLP)</t>
  </si>
  <si>
    <t>Parada não planejada acima de 10 Minutos devido falta de matérias primas que inviabilizam o início do processo de preparação de uma solução.</t>
  </si>
  <si>
    <t>Parada não planejada acima de 10 Minutos devido ausência de materiais de embalagem ou materiais fora da especificação (PEBD,  PEAD, frascos, rótulos, tampas, caixas, etc).</t>
  </si>
  <si>
    <t>Falta Materiais GGF</t>
  </si>
  <si>
    <t>Parada não planejada acima de 10 Minutos devido ausência de materias do GGF (Gastos Gerais de Fabricação) ou materiais fora da especificação (Filtro, Ribbon, Fita, Tintas, Solventes, polifilme, pallets, etc).</t>
  </si>
  <si>
    <t>Parada não planejada acima de 10 Minutos devido à ausência de documentação obrigatória, como registros de fabricação ou dossiês técnicos.</t>
  </si>
  <si>
    <t>Paradas não planejadas abaixo de 10 minutos, que irão gerar impacto na performance do equipamento. Essa parada é classificada automaticamente pelo sistema, por isso, não deve ser apontada.</t>
  </si>
  <si>
    <t>Velocidade Reduzida</t>
  </si>
  <si>
    <t>Linha rodando abaixo de sua velocidade nominal validada, por uma causa sabida, desconhecida ou falta/erro de apontamento. Essa perda é calculada automaticamente pelo sistema, por isso, não deve ser apontada.</t>
  </si>
  <si>
    <t>Perda causada pela geração de produto fora das especificações, sendo considerado refugo ou perda irreversível de produto semi-acabado ou acabado. Essa perda é calculada automaticamente a partir do apontamento de quantidade de refugo fora da especificação.</t>
  </si>
  <si>
    <t>Parada não planejada acima de 10 Minutos para realização de reprocesso/retrabalho de produtos na linha produtiva.</t>
  </si>
  <si>
    <t>Treinamento/ Reuniões/Eventos</t>
  </si>
  <si>
    <t>Parada não planejada acima de 10 Minutos devido riscos, acidentes ou incidentes que comprometem a integridade física dos colaboradores ou segurança da operação. Além disso, acionamentos intencionais e  não intencionais de dispositivos de segurança da linha.</t>
  </si>
  <si>
    <t>Paradas não Planejadas</t>
  </si>
  <si>
    <t>Limpeza não planejada</t>
  </si>
  <si>
    <t>Parada não planejada acima de 10 Minutos</t>
  </si>
  <si>
    <t>Enrosco / Tombamentos</t>
  </si>
  <si>
    <t>Parada não planejada acima de 10 Minutos para realização de Limpezas e CIP/SIP para garantir a integridade do produto semi-acabado e acabado.</t>
  </si>
  <si>
    <t>Linha</t>
  </si>
  <si>
    <t>Setor</t>
  </si>
  <si>
    <t>Data</t>
  </si>
  <si>
    <t>Mês</t>
  </si>
  <si>
    <t>Semana</t>
  </si>
  <si>
    <t>Parada</t>
  </si>
  <si>
    <t>Inicio</t>
  </si>
  <si>
    <t>Termino</t>
  </si>
  <si>
    <t>Duração</t>
  </si>
  <si>
    <t>Linha A</t>
  </si>
  <si>
    <t>P1.3</t>
  </si>
  <si>
    <t>P6.13</t>
  </si>
  <si>
    <t>P5.8</t>
  </si>
  <si>
    <t>P2.2</t>
  </si>
  <si>
    <t>P6.9</t>
  </si>
  <si>
    <t>P6.2</t>
  </si>
  <si>
    <t>Trimestre</t>
  </si>
  <si>
    <t>2T25</t>
  </si>
  <si>
    <t>Ano</t>
  </si>
  <si>
    <t>Turno</t>
  </si>
  <si>
    <t>D1 12x36</t>
  </si>
  <si>
    <t>N1 12x36</t>
  </si>
  <si>
    <t>SPEP-P1.3</t>
  </si>
  <si>
    <t>SKU</t>
  </si>
  <si>
    <t>07010012</t>
  </si>
  <si>
    <t>Produtividade (Und/H)</t>
  </si>
  <si>
    <t>Máscara2</t>
  </si>
  <si>
    <t>Linha A07010012</t>
  </si>
  <si>
    <t>1.1</t>
  </si>
  <si>
    <t>1.2</t>
  </si>
  <si>
    <t>1.3</t>
  </si>
  <si>
    <t>2.1</t>
  </si>
  <si>
    <t>3.1</t>
  </si>
  <si>
    <t>3.2</t>
  </si>
  <si>
    <t>4.1</t>
  </si>
  <si>
    <t>4.2</t>
  </si>
  <si>
    <t>4.3</t>
  </si>
  <si>
    <t>4.4</t>
  </si>
  <si>
    <t>5.1</t>
  </si>
  <si>
    <t>5.2</t>
  </si>
  <si>
    <t>6.1</t>
  </si>
  <si>
    <t>6.2</t>
  </si>
  <si>
    <t>7.1</t>
  </si>
  <si>
    <t>7.2</t>
  </si>
  <si>
    <t>7.3</t>
  </si>
  <si>
    <t>7.4</t>
  </si>
  <si>
    <t>7.5</t>
  </si>
  <si>
    <t>7.6</t>
  </si>
  <si>
    <t>7.7</t>
  </si>
  <si>
    <t>7.8</t>
  </si>
  <si>
    <t>7.9</t>
  </si>
  <si>
    <t>8.1</t>
  </si>
  <si>
    <t>8.2</t>
  </si>
  <si>
    <t>8.3</t>
  </si>
  <si>
    <t>8.4</t>
  </si>
  <si>
    <t>9.1</t>
  </si>
  <si>
    <t>9.2</t>
  </si>
  <si>
    <t>10.1</t>
  </si>
  <si>
    <t>10.2</t>
  </si>
  <si>
    <t>11.1</t>
  </si>
  <si>
    <t>11.2</t>
  </si>
  <si>
    <t>11.3</t>
  </si>
  <si>
    <t>12.1</t>
  </si>
  <si>
    <t>12.2</t>
  </si>
  <si>
    <t>13.1</t>
  </si>
  <si>
    <t>13.2</t>
  </si>
  <si>
    <t>14.1</t>
  </si>
  <si>
    <t>14.2</t>
  </si>
  <si>
    <t>14.3</t>
  </si>
  <si>
    <t>14.4</t>
  </si>
  <si>
    <t>14.5</t>
  </si>
  <si>
    <t>14.6</t>
  </si>
  <si>
    <t>14.7</t>
  </si>
  <si>
    <t>14.8</t>
  </si>
  <si>
    <t>14.9</t>
  </si>
  <si>
    <t>14.10</t>
  </si>
  <si>
    <t>15.1</t>
  </si>
  <si>
    <t>15.2</t>
  </si>
  <si>
    <t>15.3</t>
  </si>
  <si>
    <t>15.4</t>
  </si>
  <si>
    <t>15.5</t>
  </si>
  <si>
    <t>15.6</t>
  </si>
  <si>
    <t>15.7</t>
  </si>
  <si>
    <t>15.8</t>
  </si>
  <si>
    <t>15.9</t>
  </si>
  <si>
    <t>16.1</t>
  </si>
  <si>
    <t>16.2</t>
  </si>
  <si>
    <t>16.3</t>
  </si>
  <si>
    <t>16.4</t>
  </si>
  <si>
    <t>16.5</t>
  </si>
  <si>
    <t>16.6</t>
  </si>
  <si>
    <t>16.7</t>
  </si>
  <si>
    <t>17.1</t>
  </si>
  <si>
    <t>17.2</t>
  </si>
  <si>
    <t>17.3</t>
  </si>
  <si>
    <t>17.4</t>
  </si>
  <si>
    <t>17.5</t>
  </si>
  <si>
    <t>17.6</t>
  </si>
  <si>
    <t>17.7</t>
  </si>
  <si>
    <t>18.1</t>
  </si>
  <si>
    <t>18.2</t>
  </si>
  <si>
    <t>18.3</t>
  </si>
  <si>
    <t>18.4</t>
  </si>
  <si>
    <t>19.1</t>
  </si>
  <si>
    <t>19.2</t>
  </si>
  <si>
    <t>19.3</t>
  </si>
  <si>
    <t>19.4</t>
  </si>
  <si>
    <t>19.5</t>
  </si>
  <si>
    <t>19.6</t>
  </si>
  <si>
    <t>19.7</t>
  </si>
  <si>
    <t>20.1</t>
  </si>
  <si>
    <t>20.2</t>
  </si>
  <si>
    <t>20.3</t>
  </si>
  <si>
    <t>20.4</t>
  </si>
  <si>
    <t>20.5</t>
  </si>
  <si>
    <t>20.6</t>
  </si>
  <si>
    <t>20.7</t>
  </si>
  <si>
    <t>20.8</t>
  </si>
  <si>
    <t>20.9</t>
  </si>
  <si>
    <t>20.10</t>
  </si>
  <si>
    <t>21.1</t>
  </si>
  <si>
    <t>21.2</t>
  </si>
  <si>
    <t>21.3</t>
  </si>
  <si>
    <t>21.4</t>
  </si>
  <si>
    <t>21.5</t>
  </si>
  <si>
    <t>21.6</t>
  </si>
  <si>
    <t>21.7</t>
  </si>
  <si>
    <t>21.8</t>
  </si>
  <si>
    <t>21.9</t>
  </si>
  <si>
    <t>21.10</t>
  </si>
  <si>
    <t>21.11</t>
  </si>
  <si>
    <t>21.12</t>
  </si>
  <si>
    <t>21.13</t>
  </si>
  <si>
    <t>21.14</t>
  </si>
  <si>
    <t>21.15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</si>
</sst>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ss;@"/>
    <numFmt numFmtId="165" formatCode="h:mm;@"/>
  </numFmts>
  <fonts count="10" x14ac:knownFonts="1">
    <font>
      <sz val="11"/>
      <color theme="1"/>
      <name val="Calibri"/>
      <family val="2"/>
      <scheme val="minor"/>
    </font>
    <font>
      <sz val="11"/>
      <color theme="1"/>
      <name val="Book Antiqua"/>
      <family val="1"/>
    </font>
    <font>
      <sz val="8"/>
      <name val="Calibri"/>
      <family val="2"/>
      <scheme val="minor"/>
    </font>
    <font>
      <sz val="11"/>
      <color theme="1"/>
      <name val="Calibri"/>
      <family val="2"/>
      <scheme val="minor"/>
    </font>
    <font>
      <b/>
      <sz val="11"/>
      <color theme="0"/>
      <name val="Book Antiqua"/>
      <family val="1"/>
    </font>
    <font>
      <sz val="12"/>
      <color theme="1"/>
      <name val="Book Antiqua"/>
      <family val="1"/>
    </font>
    <font>
      <b/>
      <sz val="22"/>
      <color rgb="FF002060"/>
      <name val="Book Antiqua"/>
      <family val="1"/>
    </font>
    <font>
      <sz val="12"/>
      <color theme="0"/>
      <name val="Book Antiqua"/>
      <family val="1"/>
    </font>
    <font>
      <sz val="11"/>
      <color rgb="FFFF0000"/>
      <name val="Calibri"/>
      <family val="2"/>
      <scheme val="minor"/>
    </font>
    <font>
      <sz val="11"/>
      <color rgb="FFFF0000"/>
      <name val="Book Antiqua"/>
      <family val="1"/>
    </font>
  </fonts>
  <fills count="6">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top/>
      <bottom/>
      <diagonal/>
    </border>
    <border>
      <left/>
      <right/>
      <top style="thin">
        <color theme="4" tint="0.39997558519241921"/>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87">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vertical="center" wrapText="1"/>
    </xf>
    <xf numFmtId="0" fontId="4" fillId="2" borderId="0" xfId="0" applyFont="1" applyFill="1" applyAlignment="1">
      <alignment horizontal="left" vertical="center"/>
    </xf>
    <xf numFmtId="0" fontId="1" fillId="2" borderId="0" xfId="0" applyFont="1" applyFill="1" applyAlignment="1">
      <alignment horizontal="centerContinuous"/>
    </xf>
    <xf numFmtId="0" fontId="1" fillId="3" borderId="1" xfId="0" applyFont="1" applyFill="1" applyBorder="1" applyAlignment="1">
      <alignment horizontal="center"/>
    </xf>
    <xf numFmtId="0" fontId="1" fillId="0" borderId="2" xfId="0" applyFont="1" applyBorder="1" applyAlignment="1">
      <alignment horizontal="center"/>
    </xf>
    <xf numFmtId="3" fontId="1" fillId="0" borderId="2" xfId="1" applyNumberFormat="1" applyFont="1" applyBorder="1" applyAlignment="1">
      <alignment horizontal="center"/>
    </xf>
    <xf numFmtId="164" fontId="1" fillId="0" borderId="2" xfId="1" applyNumberFormat="1"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164" fontId="1" fillId="0" borderId="4" xfId="1" applyNumberFormat="1" applyFont="1" applyBorder="1" applyAlignment="1">
      <alignment horizontal="center"/>
    </xf>
    <xf numFmtId="164" fontId="1" fillId="0" borderId="3" xfId="1" applyNumberFormat="1" applyFont="1" applyBorder="1" applyAlignment="1">
      <alignment horizontal="center"/>
    </xf>
    <xf numFmtId="0" fontId="1" fillId="0" borderId="6" xfId="0" applyFont="1" applyFill="1" applyBorder="1" applyAlignment="1">
      <alignment horizontal="left"/>
    </xf>
    <xf numFmtId="49" fontId="1" fillId="2" borderId="0" xfId="0" applyNumberFormat="1" applyFont="1" applyFill="1" applyAlignment="1">
      <alignment horizontal="centerContinuous"/>
    </xf>
    <xf numFmtId="49" fontId="1" fillId="0" borderId="0" xfId="0" applyNumberFormat="1" applyFont="1" applyAlignment="1">
      <alignment horizontal="center"/>
    </xf>
    <xf numFmtId="49" fontId="1" fillId="3" borderId="1" xfId="0" applyNumberFormat="1" applyFont="1" applyFill="1" applyBorder="1" applyAlignment="1">
      <alignment horizontal="center"/>
    </xf>
    <xf numFmtId="49" fontId="1" fillId="0" borderId="4" xfId="1" applyNumberFormat="1" applyFont="1" applyBorder="1" applyAlignment="1">
      <alignment horizontal="center"/>
    </xf>
    <xf numFmtId="49" fontId="1" fillId="0" borderId="2" xfId="1" applyNumberFormat="1" applyFont="1" applyBorder="1" applyAlignment="1">
      <alignment horizontal="center"/>
    </xf>
    <xf numFmtId="49" fontId="1" fillId="0" borderId="3" xfId="1" applyNumberFormat="1" applyFont="1" applyBorder="1" applyAlignment="1">
      <alignment horizontal="center"/>
    </xf>
    <xf numFmtId="49" fontId="0" fillId="0" borderId="0" xfId="0" applyNumberFormat="1"/>
    <xf numFmtId="0" fontId="1" fillId="0" borderId="5" xfId="0" applyFont="1" applyFill="1" applyBorder="1" applyAlignment="1">
      <alignment horizontal="left"/>
    </xf>
    <xf numFmtId="0" fontId="0" fillId="0" borderId="0" xfId="0" applyAlignment="1">
      <alignment horizontal="left"/>
    </xf>
    <xf numFmtId="3" fontId="1" fillId="0" borderId="4" xfId="1" applyNumberFormat="1" applyFont="1" applyBorder="1" applyAlignment="1">
      <alignment horizontal="center"/>
    </xf>
    <xf numFmtId="0" fontId="5" fillId="3" borderId="1" xfId="0" applyFont="1" applyFill="1" applyBorder="1" applyAlignment="1">
      <alignment horizontal="center" vertical="center"/>
    </xf>
    <xf numFmtId="0" fontId="0" fillId="0" borderId="0" xfId="0" applyBorder="1"/>
    <xf numFmtId="0" fontId="0" fillId="0" borderId="1" xfId="0" applyBorder="1"/>
    <xf numFmtId="164" fontId="5" fillId="3" borderId="1" xfId="1" applyNumberFormat="1" applyFont="1" applyFill="1" applyBorder="1" applyAlignment="1">
      <alignment horizontal="center" vertical="center" wrapText="1"/>
    </xf>
    <xf numFmtId="0" fontId="5" fillId="0" borderId="0" xfId="0" applyFont="1" applyAlignment="1">
      <alignment vertical="center"/>
    </xf>
    <xf numFmtId="0" fontId="5" fillId="0" borderId="0" xfId="0" applyFont="1" applyFill="1" applyAlignment="1">
      <alignment vertical="center"/>
    </xf>
    <xf numFmtId="0" fontId="1" fillId="0" borderId="0" xfId="0" applyFont="1" applyFill="1"/>
    <xf numFmtId="0" fontId="1" fillId="0" borderId="0" xfId="0" applyFont="1" applyAlignment="1">
      <alignment vertical="center"/>
    </xf>
    <xf numFmtId="0" fontId="1" fillId="0" borderId="0" xfId="0" applyFont="1" applyAlignment="1">
      <alignment wrapText="1"/>
    </xf>
    <xf numFmtId="0" fontId="0" fillId="0" borderId="0" xfId="0" applyAlignment="1">
      <alignment wrapText="1"/>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164" fontId="5" fillId="4" borderId="1" xfId="1" applyNumberFormat="1" applyFont="1" applyFill="1" applyBorder="1" applyAlignment="1">
      <alignment horizontal="center" vertical="center" wrapText="1"/>
    </xf>
    <xf numFmtId="0" fontId="1" fillId="5" borderId="7" xfId="0" applyFont="1" applyFill="1" applyBorder="1" applyAlignment="1">
      <alignment horizontal="center"/>
    </xf>
    <xf numFmtId="16" fontId="1" fillId="5" borderId="7" xfId="0" applyNumberFormat="1" applyFont="1" applyFill="1" applyBorder="1" applyAlignment="1">
      <alignment horizontal="center"/>
    </xf>
    <xf numFmtId="164" fontId="1" fillId="5" borderId="7" xfId="0" applyNumberFormat="1" applyFont="1" applyFill="1" applyBorder="1" applyAlignment="1">
      <alignment horizontal="center"/>
    </xf>
    <xf numFmtId="165" fontId="1" fillId="5" borderId="7" xfId="0" applyNumberFormat="1" applyFont="1" applyFill="1" applyBorder="1" applyAlignment="1">
      <alignment horizontal="center"/>
    </xf>
    <xf numFmtId="0" fontId="1" fillId="0" borderId="7" xfId="0" applyFont="1" applyBorder="1" applyAlignment="1">
      <alignment horizontal="center"/>
    </xf>
    <xf numFmtId="16" fontId="1" fillId="0" borderId="7" xfId="0" applyNumberFormat="1" applyFont="1" applyBorder="1" applyAlignment="1">
      <alignment horizontal="center"/>
    </xf>
    <xf numFmtId="164" fontId="1" fillId="0" borderId="7" xfId="0" applyNumberFormat="1" applyFont="1" applyBorder="1" applyAlignment="1">
      <alignment horizontal="center"/>
    </xf>
    <xf numFmtId="165" fontId="1" fillId="0" borderId="7" xfId="0" applyNumberFormat="1" applyFont="1" applyBorder="1" applyAlignment="1">
      <alignment horizontal="center"/>
    </xf>
    <xf numFmtId="1" fontId="1" fillId="5" borderId="7" xfId="0" applyNumberFormat="1" applyFont="1" applyFill="1" applyBorder="1" applyAlignment="1">
      <alignment horizontal="center"/>
    </xf>
    <xf numFmtId="1" fontId="1" fillId="0" borderId="7" xfId="0" applyNumberFormat="1" applyFont="1" applyBorder="1" applyAlignment="1">
      <alignment horizontal="center"/>
    </xf>
    <xf numFmtId="1" fontId="0" fillId="0" borderId="0" xfId="0" applyNumberFormat="1"/>
    <xf numFmtId="49" fontId="1" fillId="5" borderId="7" xfId="0" applyNumberFormat="1" applyFont="1" applyFill="1" applyBorder="1" applyAlignment="1">
      <alignment horizontal="center"/>
    </xf>
    <xf numFmtId="49" fontId="1" fillId="0" borderId="7" xfId="0" applyNumberFormat="1" applyFont="1" applyBorder="1" applyAlignment="1">
      <alignment horizontal="center"/>
    </xf>
    <xf numFmtId="0" fontId="4" fillId="2" borderId="7" xfId="0"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16" fontId="4" fillId="2" borderId="7" xfId="0" applyNumberFormat="1" applyFont="1" applyFill="1" applyBorder="1" applyAlignment="1">
      <alignment horizontal="center" vertical="center" wrapText="1"/>
    </xf>
    <xf numFmtId="1" fontId="4" fillId="2" borderId="7" xfId="0" applyNumberFormat="1" applyFont="1" applyFill="1" applyBorder="1" applyAlignment="1">
      <alignment horizontal="center" vertical="center" wrapText="1"/>
    </xf>
    <xf numFmtId="165" fontId="4" fillId="2" borderId="7" xfId="0" applyNumberFormat="1" applyFont="1" applyFill="1" applyBorder="1" applyAlignment="1">
      <alignment horizontal="center" vertical="center" wrapText="1"/>
    </xf>
    <xf numFmtId="164" fontId="4" fillId="2" borderId="7" xfId="0" applyNumberFormat="1" applyFont="1" applyFill="1" applyBorder="1" applyAlignment="1">
      <alignment horizontal="center" vertical="center" wrapText="1"/>
    </xf>
    <xf numFmtId="3" fontId="1" fillId="5" borderId="7" xfId="0" applyNumberFormat="1" applyFont="1" applyFill="1" applyBorder="1" applyAlignment="1">
      <alignment horizontal="center"/>
    </xf>
    <xf numFmtId="3" fontId="4" fillId="2" borderId="7" xfId="0" applyNumberFormat="1" applyFont="1" applyFill="1" applyBorder="1" applyAlignment="1">
      <alignment horizontal="center" vertical="center" wrapText="1"/>
    </xf>
    <xf numFmtId="3" fontId="1" fillId="0" borderId="7" xfId="0" applyNumberFormat="1" applyFont="1" applyBorder="1" applyAlignment="1">
      <alignment horizontal="center"/>
    </xf>
    <xf numFmtId="3" fontId="0" fillId="0" borderId="0" xfId="0" applyNumberFormat="1"/>
    <xf numFmtId="0" fontId="9" fillId="0" borderId="7" xfId="0" applyFont="1" applyBorder="1" applyAlignment="1">
      <alignment horizontal="center"/>
    </xf>
    <xf numFmtId="49" fontId="9" fillId="0" borderId="7" xfId="0" applyNumberFormat="1" applyFont="1" applyBorder="1" applyAlignment="1">
      <alignment horizontal="center"/>
    </xf>
    <xf numFmtId="3" fontId="9" fillId="0" borderId="7" xfId="0" applyNumberFormat="1" applyFont="1" applyBorder="1" applyAlignment="1">
      <alignment horizontal="center"/>
    </xf>
    <xf numFmtId="16" fontId="9" fillId="0" borderId="7" xfId="0" applyNumberFormat="1" applyFont="1" applyBorder="1" applyAlignment="1">
      <alignment horizontal="center"/>
    </xf>
    <xf numFmtId="1" fontId="9" fillId="0" borderId="7" xfId="0" applyNumberFormat="1" applyFont="1" applyBorder="1" applyAlignment="1">
      <alignment horizontal="center"/>
    </xf>
    <xf numFmtId="164" fontId="9" fillId="0" borderId="7" xfId="0" applyNumberFormat="1" applyFont="1" applyBorder="1" applyAlignment="1">
      <alignment horizontal="center"/>
    </xf>
    <xf numFmtId="165" fontId="9" fillId="0" borderId="7" xfId="0" applyNumberFormat="1" applyFont="1" applyBorder="1" applyAlignment="1">
      <alignment horizontal="center"/>
    </xf>
    <xf numFmtId="0" fontId="8" fillId="0" borderId="0" xfId="0" applyFont="1"/>
    <xf numFmtId="0" fontId="5" fillId="4" borderId="1" xfId="0" applyFont="1" applyFill="1" applyBorder="1" applyAlignment="1">
      <alignment horizontal="center" vertical="center"/>
    </xf>
    <xf numFmtId="164" fontId="5" fillId="0" borderId="1" xfId="1" applyNumberFormat="1"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xf>
    <xf numFmtId="164" fontId="5" fillId="0" borderId="1" xfId="1"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6" fillId="0" borderId="0" xfId="0" applyFont="1" applyAlignment="1">
      <alignment horizontal="center" vertical="center"/>
    </xf>
    <xf numFmtId="0" fontId="0" fillId="0" borderId="0" xfId="0" applyAlignment="1">
      <alignment horizontal="center"/>
    </xf>
    <xf numFmtId="0" fontId="0" fillId="0" borderId="0" xfId="0" applyAlignment="1">
      <alignment horizontal="center" wrapText="1"/>
    </xf>
    <xf numFmtId="0" fontId="1" fillId="0" borderId="0" xfId="0" applyFont="1" applyAlignment="1">
      <alignment horizontal="center" wrapText="1"/>
    </xf>
    <xf numFmtId="0" fontId="6"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wrapText="1"/>
    </xf>
  </cellXfs>
  <cellStyles count="2">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F9C08-DC08-4C93-8620-4D5EC3498141}">
  <dimension ref="B3:J134"/>
  <sheetViews>
    <sheetView showGridLines="0" tabSelected="1" zoomScale="55" zoomScaleNormal="55" workbookViewId="0">
      <pane xSplit="3" ySplit="3" topLeftCell="D133" activePane="bottomRight" state="frozen"/>
      <selection pane="topRight" activeCell="C1" sqref="C1"/>
      <selection pane="bottomLeft" activeCell="A4" sqref="A4"/>
      <selection pane="bottomRight" activeCell="C151" sqref="C151"/>
    </sheetView>
  </sheetViews>
  <sheetFormatPr defaultColWidth="9.140625" defaultRowHeight="16.5" x14ac:dyDescent="0.3"/>
  <cols>
    <col min="1" max="1" width="9.140625" style="1"/>
    <col min="2" max="3" width="23" style="2" customWidth="1"/>
    <col min="4" max="4" width="41.7109375" style="2" customWidth="1"/>
    <col min="5" max="5" width="24.28515625" style="2" customWidth="1"/>
    <col min="6" max="6" width="29.140625" style="83" customWidth="1"/>
    <col min="7" max="7" width="30.28515625" style="83" customWidth="1"/>
    <col min="8" max="8" width="109.140625" style="33" customWidth="1"/>
    <col min="9" max="9" width="9.140625" style="1"/>
    <col min="10" max="10" width="32" style="1" bestFit="1" customWidth="1"/>
    <col min="11" max="16384" width="9.140625" style="1"/>
  </cols>
  <sheetData>
    <row r="3" spans="2:8" customFormat="1" ht="43.5" customHeight="1" x14ac:dyDescent="0.25">
      <c r="B3" s="35" t="s">
        <v>9</v>
      </c>
      <c r="C3" s="35" t="s">
        <v>11</v>
      </c>
      <c r="D3" s="35" t="s">
        <v>10</v>
      </c>
      <c r="E3" s="35" t="s">
        <v>11</v>
      </c>
      <c r="F3" s="36" t="s">
        <v>12</v>
      </c>
      <c r="G3" s="36" t="s">
        <v>165</v>
      </c>
      <c r="H3" s="36" t="s">
        <v>169</v>
      </c>
    </row>
    <row r="4" spans="2:8" s="29" customFormat="1" ht="75" customHeight="1" x14ac:dyDescent="0.25">
      <c r="B4" s="71" t="s">
        <v>393</v>
      </c>
      <c r="C4" s="71" t="s">
        <v>246</v>
      </c>
      <c r="D4" s="71" t="s">
        <v>24</v>
      </c>
      <c r="E4" s="71" t="s">
        <v>16</v>
      </c>
      <c r="F4" s="38" t="s">
        <v>223</v>
      </c>
      <c r="G4" s="39" t="s">
        <v>223</v>
      </c>
      <c r="H4" s="39" t="s">
        <v>247</v>
      </c>
    </row>
    <row r="5" spans="2:8" s="29" customFormat="1" ht="75" customHeight="1" x14ac:dyDescent="0.25">
      <c r="B5" s="71" t="s">
        <v>394</v>
      </c>
      <c r="C5" s="71" t="s">
        <v>246</v>
      </c>
      <c r="D5" s="71" t="s">
        <v>24</v>
      </c>
      <c r="E5" s="71" t="s">
        <v>16</v>
      </c>
      <c r="F5" s="38" t="s">
        <v>223</v>
      </c>
      <c r="G5" s="39" t="s">
        <v>251</v>
      </c>
      <c r="H5" s="39" t="s">
        <v>250</v>
      </c>
    </row>
    <row r="6" spans="2:8" s="29" customFormat="1" ht="75" customHeight="1" x14ac:dyDescent="0.25">
      <c r="B6" s="71" t="s">
        <v>395</v>
      </c>
      <c r="C6" s="71" t="s">
        <v>246</v>
      </c>
      <c r="D6" s="71" t="s">
        <v>24</v>
      </c>
      <c r="E6" s="71" t="s">
        <v>25</v>
      </c>
      <c r="F6" s="38" t="s">
        <v>223</v>
      </c>
      <c r="G6" s="39" t="s">
        <v>0</v>
      </c>
      <c r="H6" s="39" t="s">
        <v>248</v>
      </c>
    </row>
    <row r="7" spans="2:8" s="29" customFormat="1" ht="75" customHeight="1" x14ac:dyDescent="0.25">
      <c r="B7" s="25" t="s">
        <v>396</v>
      </c>
      <c r="C7" s="25" t="s">
        <v>225</v>
      </c>
      <c r="D7" s="25" t="s">
        <v>16</v>
      </c>
      <c r="E7" s="25" t="s">
        <v>16</v>
      </c>
      <c r="F7" s="37" t="s">
        <v>249</v>
      </c>
      <c r="G7" s="28" t="s">
        <v>249</v>
      </c>
      <c r="H7" s="28" t="s">
        <v>262</v>
      </c>
    </row>
    <row r="8" spans="2:8" s="29" customFormat="1" ht="75" customHeight="1" x14ac:dyDescent="0.25">
      <c r="B8" s="75" t="s">
        <v>397</v>
      </c>
      <c r="C8" s="75" t="s">
        <v>225</v>
      </c>
      <c r="D8" s="75" t="s">
        <v>16</v>
      </c>
      <c r="E8" s="75" t="s">
        <v>16</v>
      </c>
      <c r="F8" s="77" t="s">
        <v>1</v>
      </c>
      <c r="G8" s="76" t="s">
        <v>253</v>
      </c>
      <c r="H8" s="76" t="s">
        <v>255</v>
      </c>
    </row>
    <row r="9" spans="2:8" s="29" customFormat="1" ht="75" customHeight="1" x14ac:dyDescent="0.25">
      <c r="B9" s="75" t="s">
        <v>398</v>
      </c>
      <c r="C9" s="75" t="s">
        <v>225</v>
      </c>
      <c r="D9" s="75" t="s">
        <v>16</v>
      </c>
      <c r="E9" s="75" t="s">
        <v>16</v>
      </c>
      <c r="F9" s="77" t="s">
        <v>1</v>
      </c>
      <c r="G9" s="76" t="s">
        <v>252</v>
      </c>
      <c r="H9" s="76" t="s">
        <v>256</v>
      </c>
    </row>
    <row r="10" spans="2:8" s="29" customFormat="1" ht="75" customHeight="1" x14ac:dyDescent="0.25">
      <c r="B10" s="25" t="s">
        <v>399</v>
      </c>
      <c r="C10" s="25" t="s">
        <v>225</v>
      </c>
      <c r="D10" s="25" t="s">
        <v>16</v>
      </c>
      <c r="E10" s="25" t="s">
        <v>16</v>
      </c>
      <c r="F10" s="37" t="s">
        <v>26</v>
      </c>
      <c r="G10" s="28" t="s">
        <v>21</v>
      </c>
      <c r="H10" s="28" t="s">
        <v>257</v>
      </c>
    </row>
    <row r="11" spans="2:8" s="29" customFormat="1" ht="75" customHeight="1" x14ac:dyDescent="0.25">
      <c r="B11" s="25" t="s">
        <v>400</v>
      </c>
      <c r="C11" s="25" t="s">
        <v>225</v>
      </c>
      <c r="D11" s="25" t="s">
        <v>16</v>
      </c>
      <c r="E11" s="25" t="s">
        <v>16</v>
      </c>
      <c r="F11" s="37" t="s">
        <v>26</v>
      </c>
      <c r="G11" s="28" t="s">
        <v>22</v>
      </c>
      <c r="H11" s="28" t="s">
        <v>258</v>
      </c>
    </row>
    <row r="12" spans="2:8" s="29" customFormat="1" ht="75" customHeight="1" x14ac:dyDescent="0.25">
      <c r="B12" s="25" t="s">
        <v>401</v>
      </c>
      <c r="C12" s="25" t="s">
        <v>225</v>
      </c>
      <c r="D12" s="25" t="s">
        <v>16</v>
      </c>
      <c r="E12" s="25" t="s">
        <v>16</v>
      </c>
      <c r="F12" s="37" t="s">
        <v>26</v>
      </c>
      <c r="G12" s="28" t="s">
        <v>254</v>
      </c>
      <c r="H12" s="28" t="s">
        <v>259</v>
      </c>
    </row>
    <row r="13" spans="2:8" s="29" customFormat="1" ht="75" customHeight="1" x14ac:dyDescent="0.25">
      <c r="B13" s="25" t="s">
        <v>402</v>
      </c>
      <c r="C13" s="25" t="s">
        <v>225</v>
      </c>
      <c r="D13" s="25" t="s">
        <v>16</v>
      </c>
      <c r="E13" s="25" t="s">
        <v>16</v>
      </c>
      <c r="F13" s="37" t="s">
        <v>26</v>
      </c>
      <c r="G13" s="28" t="s">
        <v>260</v>
      </c>
      <c r="H13" s="28" t="s">
        <v>261</v>
      </c>
    </row>
    <row r="14" spans="2:8" s="29" customFormat="1" ht="75" customHeight="1" x14ac:dyDescent="0.25">
      <c r="B14" s="75" t="s">
        <v>403</v>
      </c>
      <c r="C14" s="75" t="s">
        <v>225</v>
      </c>
      <c r="D14" s="75" t="s">
        <v>16</v>
      </c>
      <c r="E14" s="75" t="s">
        <v>16</v>
      </c>
      <c r="F14" s="77" t="s">
        <v>23</v>
      </c>
      <c r="G14" s="76" t="s">
        <v>37</v>
      </c>
      <c r="H14" s="76" t="s">
        <v>263</v>
      </c>
    </row>
    <row r="15" spans="2:8" s="29" customFormat="1" ht="75" customHeight="1" x14ac:dyDescent="0.25">
      <c r="B15" s="75" t="s">
        <v>404</v>
      </c>
      <c r="C15" s="75" t="s">
        <v>225</v>
      </c>
      <c r="D15" s="75" t="s">
        <v>16</v>
      </c>
      <c r="E15" s="75" t="s">
        <v>16</v>
      </c>
      <c r="F15" s="77" t="s">
        <v>23</v>
      </c>
      <c r="G15" s="76" t="s">
        <v>38</v>
      </c>
      <c r="H15" s="76" t="s">
        <v>264</v>
      </c>
    </row>
    <row r="16" spans="2:8" s="29" customFormat="1" ht="75" customHeight="1" x14ac:dyDescent="0.25">
      <c r="B16" s="25" t="s">
        <v>405</v>
      </c>
      <c r="C16" s="25" t="s">
        <v>225</v>
      </c>
      <c r="D16" s="25" t="s">
        <v>16</v>
      </c>
      <c r="E16" s="25" t="s">
        <v>16</v>
      </c>
      <c r="F16" s="37" t="s">
        <v>18</v>
      </c>
      <c r="G16" s="28" t="s">
        <v>358</v>
      </c>
      <c r="H16" s="28" t="s">
        <v>265</v>
      </c>
    </row>
    <row r="17" spans="2:10" s="29" customFormat="1" ht="75" customHeight="1" x14ac:dyDescent="0.25">
      <c r="B17" s="25" t="s">
        <v>406</v>
      </c>
      <c r="C17" s="25" t="s">
        <v>225</v>
      </c>
      <c r="D17" s="25" t="s">
        <v>16</v>
      </c>
      <c r="E17" s="25" t="s">
        <v>16</v>
      </c>
      <c r="F17" s="37" t="s">
        <v>18</v>
      </c>
      <c r="G17" s="28" t="s">
        <v>167</v>
      </c>
      <c r="H17" s="28" t="s">
        <v>275</v>
      </c>
    </row>
    <row r="18" spans="2:10" s="29" customFormat="1" ht="75" customHeight="1" x14ac:dyDescent="0.25">
      <c r="B18" s="73" t="s">
        <v>407</v>
      </c>
      <c r="C18" s="73" t="s">
        <v>225</v>
      </c>
      <c r="D18" s="73" t="s">
        <v>360</v>
      </c>
      <c r="E18" s="73" t="s">
        <v>360</v>
      </c>
      <c r="F18" s="74" t="s">
        <v>3</v>
      </c>
      <c r="G18" s="72" t="s">
        <v>266</v>
      </c>
      <c r="H18" s="72" t="s">
        <v>267</v>
      </c>
    </row>
    <row r="19" spans="2:10" s="29" customFormat="1" ht="75" customHeight="1" x14ac:dyDescent="0.3">
      <c r="B19" s="73" t="s">
        <v>408</v>
      </c>
      <c r="C19" s="73" t="s">
        <v>225</v>
      </c>
      <c r="D19" s="73" t="s">
        <v>360</v>
      </c>
      <c r="E19" s="73" t="s">
        <v>360</v>
      </c>
      <c r="F19" s="74" t="s">
        <v>3</v>
      </c>
      <c r="G19" s="72" t="s">
        <v>49</v>
      </c>
      <c r="H19" s="72" t="s">
        <v>340</v>
      </c>
      <c r="J19" s="1"/>
    </row>
    <row r="20" spans="2:10" s="29" customFormat="1" ht="75" customHeight="1" x14ac:dyDescent="0.3">
      <c r="B20" s="73" t="s">
        <v>409</v>
      </c>
      <c r="C20" s="73" t="s">
        <v>225</v>
      </c>
      <c r="D20" s="73" t="s">
        <v>360</v>
      </c>
      <c r="E20" s="73" t="s">
        <v>360</v>
      </c>
      <c r="F20" s="74" t="s">
        <v>3</v>
      </c>
      <c r="G20" s="72" t="s">
        <v>48</v>
      </c>
      <c r="H20" s="72" t="s">
        <v>268</v>
      </c>
      <c r="J20" s="1"/>
    </row>
    <row r="21" spans="2:10" s="29" customFormat="1" ht="75" customHeight="1" x14ac:dyDescent="0.3">
      <c r="B21" s="73" t="s">
        <v>410</v>
      </c>
      <c r="C21" s="73" t="s">
        <v>225</v>
      </c>
      <c r="D21" s="73" t="s">
        <v>360</v>
      </c>
      <c r="E21" s="73" t="s">
        <v>360</v>
      </c>
      <c r="F21" s="74" t="s">
        <v>3</v>
      </c>
      <c r="G21" s="72" t="s">
        <v>47</v>
      </c>
      <c r="H21" s="72" t="s">
        <v>341</v>
      </c>
      <c r="J21" s="1"/>
    </row>
    <row r="22" spans="2:10" s="29" customFormat="1" ht="75" customHeight="1" x14ac:dyDescent="0.3">
      <c r="B22" s="73" t="s">
        <v>411</v>
      </c>
      <c r="C22" s="73" t="s">
        <v>225</v>
      </c>
      <c r="D22" s="73" t="s">
        <v>360</v>
      </c>
      <c r="E22" s="73" t="s">
        <v>360</v>
      </c>
      <c r="F22" s="74" t="s">
        <v>3</v>
      </c>
      <c r="G22" s="72" t="s">
        <v>346</v>
      </c>
      <c r="H22" s="72" t="s">
        <v>347</v>
      </c>
      <c r="J22" s="1"/>
    </row>
    <row r="23" spans="2:10" s="29" customFormat="1" ht="75" customHeight="1" x14ac:dyDescent="0.3">
      <c r="B23" s="73" t="s">
        <v>412</v>
      </c>
      <c r="C23" s="73" t="s">
        <v>225</v>
      </c>
      <c r="D23" s="73" t="s">
        <v>360</v>
      </c>
      <c r="E23" s="73" t="s">
        <v>360</v>
      </c>
      <c r="F23" s="74" t="s">
        <v>3</v>
      </c>
      <c r="G23" s="72" t="s">
        <v>46</v>
      </c>
      <c r="H23" s="72" t="s">
        <v>342</v>
      </c>
      <c r="J23" s="1"/>
    </row>
    <row r="24" spans="2:10" s="29" customFormat="1" ht="75" customHeight="1" x14ac:dyDescent="0.3">
      <c r="B24" s="73" t="s">
        <v>413</v>
      </c>
      <c r="C24" s="73" t="s">
        <v>225</v>
      </c>
      <c r="D24" s="73" t="s">
        <v>360</v>
      </c>
      <c r="E24" s="73" t="s">
        <v>360</v>
      </c>
      <c r="F24" s="74" t="s">
        <v>3</v>
      </c>
      <c r="G24" s="72" t="s">
        <v>50</v>
      </c>
      <c r="H24" s="72" t="s">
        <v>343</v>
      </c>
      <c r="J24" s="1"/>
    </row>
    <row r="25" spans="2:10" s="29" customFormat="1" ht="75" customHeight="1" x14ac:dyDescent="0.3">
      <c r="B25" s="73" t="s">
        <v>414</v>
      </c>
      <c r="C25" s="73" t="s">
        <v>225</v>
      </c>
      <c r="D25" s="73" t="s">
        <v>360</v>
      </c>
      <c r="E25" s="73" t="s">
        <v>360</v>
      </c>
      <c r="F25" s="74" t="s">
        <v>3</v>
      </c>
      <c r="G25" s="72" t="s">
        <v>51</v>
      </c>
      <c r="H25" s="72" t="s">
        <v>344</v>
      </c>
      <c r="J25" s="1"/>
    </row>
    <row r="26" spans="2:10" s="29" customFormat="1" ht="75" customHeight="1" x14ac:dyDescent="0.3">
      <c r="B26" s="73" t="s">
        <v>415</v>
      </c>
      <c r="C26" s="73" t="s">
        <v>225</v>
      </c>
      <c r="D26" s="73" t="s">
        <v>360</v>
      </c>
      <c r="E26" s="73" t="s">
        <v>360</v>
      </c>
      <c r="F26" s="74" t="s">
        <v>3</v>
      </c>
      <c r="G26" s="72" t="s">
        <v>168</v>
      </c>
      <c r="H26" s="72" t="s">
        <v>269</v>
      </c>
      <c r="J26" s="1"/>
    </row>
    <row r="27" spans="2:10" s="30" customFormat="1" ht="75" customHeight="1" x14ac:dyDescent="0.3">
      <c r="B27" s="25" t="s">
        <v>416</v>
      </c>
      <c r="C27" s="25" t="s">
        <v>225</v>
      </c>
      <c r="D27" s="25" t="s">
        <v>360</v>
      </c>
      <c r="E27" s="25" t="s">
        <v>360</v>
      </c>
      <c r="F27" s="37" t="s">
        <v>6</v>
      </c>
      <c r="G27" s="28" t="s">
        <v>44</v>
      </c>
      <c r="H27" s="28" t="s">
        <v>345</v>
      </c>
      <c r="J27" s="31"/>
    </row>
    <row r="28" spans="2:10" s="29" customFormat="1" ht="75" customHeight="1" x14ac:dyDescent="0.3">
      <c r="B28" s="25" t="s">
        <v>417</v>
      </c>
      <c r="C28" s="25" t="s">
        <v>225</v>
      </c>
      <c r="D28" s="25" t="s">
        <v>360</v>
      </c>
      <c r="E28" s="25" t="s">
        <v>360</v>
      </c>
      <c r="F28" s="37" t="s">
        <v>6</v>
      </c>
      <c r="G28" s="28" t="s">
        <v>39</v>
      </c>
      <c r="H28" s="28" t="s">
        <v>348</v>
      </c>
      <c r="J28" s="1"/>
    </row>
    <row r="29" spans="2:10" s="29" customFormat="1" ht="75" customHeight="1" x14ac:dyDescent="0.3">
      <c r="B29" s="25" t="s">
        <v>418</v>
      </c>
      <c r="C29" s="25" t="s">
        <v>225</v>
      </c>
      <c r="D29" s="25" t="s">
        <v>360</v>
      </c>
      <c r="E29" s="25" t="s">
        <v>360</v>
      </c>
      <c r="F29" s="37" t="s">
        <v>6</v>
      </c>
      <c r="G29" s="28" t="s">
        <v>40</v>
      </c>
      <c r="H29" s="28" t="s">
        <v>349</v>
      </c>
      <c r="J29" s="1"/>
    </row>
    <row r="30" spans="2:10" s="29" customFormat="1" ht="75" customHeight="1" x14ac:dyDescent="0.3">
      <c r="B30" s="25" t="s">
        <v>419</v>
      </c>
      <c r="C30" s="25" t="s">
        <v>225</v>
      </c>
      <c r="D30" s="25" t="s">
        <v>360</v>
      </c>
      <c r="E30" s="25" t="s">
        <v>360</v>
      </c>
      <c r="F30" s="37" t="s">
        <v>6</v>
      </c>
      <c r="G30" s="28" t="s">
        <v>350</v>
      </c>
      <c r="H30" s="28" t="s">
        <v>351</v>
      </c>
      <c r="J30" s="1"/>
    </row>
    <row r="31" spans="2:10" s="29" customFormat="1" ht="75" customHeight="1" x14ac:dyDescent="0.3">
      <c r="B31" s="73" t="s">
        <v>420</v>
      </c>
      <c r="C31" s="73" t="s">
        <v>225</v>
      </c>
      <c r="D31" s="73" t="s">
        <v>360</v>
      </c>
      <c r="E31" s="73" t="s">
        <v>360</v>
      </c>
      <c r="F31" s="74" t="s">
        <v>4</v>
      </c>
      <c r="G31" s="72" t="s">
        <v>28</v>
      </c>
      <c r="H31" s="72" t="s">
        <v>270</v>
      </c>
      <c r="J31" s="1"/>
    </row>
    <row r="32" spans="2:10" s="29" customFormat="1" ht="75" customHeight="1" x14ac:dyDescent="0.3">
      <c r="B32" s="73" t="s">
        <v>421</v>
      </c>
      <c r="C32" s="73" t="s">
        <v>225</v>
      </c>
      <c r="D32" s="73" t="s">
        <v>360</v>
      </c>
      <c r="E32" s="73" t="s">
        <v>360</v>
      </c>
      <c r="F32" s="74" t="s">
        <v>4</v>
      </c>
      <c r="G32" s="72" t="s">
        <v>42</v>
      </c>
      <c r="H32" s="72" t="s">
        <v>352</v>
      </c>
      <c r="J32" s="1"/>
    </row>
    <row r="33" spans="2:10" s="29" customFormat="1" ht="75" customHeight="1" x14ac:dyDescent="0.3">
      <c r="B33" s="25" t="s">
        <v>422</v>
      </c>
      <c r="C33" s="25" t="s">
        <v>225</v>
      </c>
      <c r="D33" s="25" t="s">
        <v>360</v>
      </c>
      <c r="E33" s="25" t="s">
        <v>360</v>
      </c>
      <c r="F33" s="37" t="s">
        <v>20</v>
      </c>
      <c r="G33" s="28" t="s">
        <v>43</v>
      </c>
      <c r="H33" s="28" t="s">
        <v>271</v>
      </c>
      <c r="J33" s="1"/>
    </row>
    <row r="34" spans="2:10" s="29" customFormat="1" ht="75" customHeight="1" x14ac:dyDescent="0.3">
      <c r="B34" s="25" t="s">
        <v>423</v>
      </c>
      <c r="C34" s="25" t="s">
        <v>225</v>
      </c>
      <c r="D34" s="25" t="s">
        <v>360</v>
      </c>
      <c r="E34" s="25" t="s">
        <v>360</v>
      </c>
      <c r="F34" s="37" t="s">
        <v>20</v>
      </c>
      <c r="G34" s="28" t="s">
        <v>110</v>
      </c>
      <c r="H34" s="28" t="s">
        <v>272</v>
      </c>
      <c r="J34" s="1"/>
    </row>
    <row r="35" spans="2:10" s="29" customFormat="1" ht="75" customHeight="1" x14ac:dyDescent="0.3">
      <c r="B35" s="73" t="s">
        <v>424</v>
      </c>
      <c r="C35" s="73" t="s">
        <v>225</v>
      </c>
      <c r="D35" s="73" t="s">
        <v>360</v>
      </c>
      <c r="E35" s="73" t="s">
        <v>360</v>
      </c>
      <c r="F35" s="74" t="s">
        <v>5</v>
      </c>
      <c r="G35" s="72" t="s">
        <v>17</v>
      </c>
      <c r="H35" s="72" t="s">
        <v>273</v>
      </c>
      <c r="J35" s="1"/>
    </row>
    <row r="36" spans="2:10" s="29" customFormat="1" ht="75" customHeight="1" x14ac:dyDescent="0.3">
      <c r="B36" s="73" t="s">
        <v>425</v>
      </c>
      <c r="C36" s="73" t="s">
        <v>225</v>
      </c>
      <c r="D36" s="73" t="s">
        <v>360</v>
      </c>
      <c r="E36" s="73" t="s">
        <v>360</v>
      </c>
      <c r="F36" s="74" t="s">
        <v>5</v>
      </c>
      <c r="G36" s="72" t="s">
        <v>19</v>
      </c>
      <c r="H36" s="72" t="s">
        <v>274</v>
      </c>
      <c r="J36" s="1"/>
    </row>
    <row r="37" spans="2:10" s="29" customFormat="1" ht="75" customHeight="1" x14ac:dyDescent="0.3">
      <c r="B37" s="73" t="s">
        <v>426</v>
      </c>
      <c r="C37" s="73" t="s">
        <v>225</v>
      </c>
      <c r="D37" s="73" t="s">
        <v>360</v>
      </c>
      <c r="E37" s="73" t="s">
        <v>360</v>
      </c>
      <c r="F37" s="74" t="s">
        <v>5</v>
      </c>
      <c r="G37" s="72" t="s">
        <v>45</v>
      </c>
      <c r="H37" s="72" t="s">
        <v>359</v>
      </c>
      <c r="J37" s="1"/>
    </row>
    <row r="38" spans="2:10" s="29" customFormat="1" ht="75" customHeight="1" x14ac:dyDescent="0.3">
      <c r="B38" s="25" t="s">
        <v>427</v>
      </c>
      <c r="C38" s="25" t="s">
        <v>30</v>
      </c>
      <c r="D38" s="25" t="s">
        <v>30</v>
      </c>
      <c r="E38" s="25" t="s">
        <v>27</v>
      </c>
      <c r="F38" s="37" t="s">
        <v>31</v>
      </c>
      <c r="G38" s="28" t="s">
        <v>32</v>
      </c>
      <c r="H38" s="28" t="s">
        <v>353</v>
      </c>
      <c r="J38" s="1"/>
    </row>
    <row r="39" spans="2:10" s="29" customFormat="1" ht="75" customHeight="1" x14ac:dyDescent="0.3">
      <c r="B39" s="25" t="s">
        <v>428</v>
      </c>
      <c r="C39" s="25" t="s">
        <v>30</v>
      </c>
      <c r="D39" s="25" t="s">
        <v>30</v>
      </c>
      <c r="E39" s="25" t="s">
        <v>27</v>
      </c>
      <c r="F39" s="37" t="s">
        <v>354</v>
      </c>
      <c r="G39" s="37" t="s">
        <v>354</v>
      </c>
      <c r="H39" s="28" t="s">
        <v>355</v>
      </c>
      <c r="J39" s="1"/>
    </row>
    <row r="40" spans="2:10" s="29" customFormat="1" ht="75" customHeight="1" x14ac:dyDescent="0.3">
      <c r="B40" s="73" t="s">
        <v>429</v>
      </c>
      <c r="C40" s="73" t="s">
        <v>29</v>
      </c>
      <c r="D40" s="73" t="s">
        <v>29</v>
      </c>
      <c r="E40" s="73" t="s">
        <v>27</v>
      </c>
      <c r="F40" s="74" t="s">
        <v>7</v>
      </c>
      <c r="G40" s="72" t="s">
        <v>166</v>
      </c>
      <c r="H40" s="72" t="s">
        <v>356</v>
      </c>
      <c r="J40" s="1"/>
    </row>
    <row r="41" spans="2:10" s="29" customFormat="1" ht="75" customHeight="1" x14ac:dyDescent="0.3">
      <c r="B41" s="73" t="s">
        <v>430</v>
      </c>
      <c r="C41" s="73" t="s">
        <v>29</v>
      </c>
      <c r="D41" s="73" t="s">
        <v>29</v>
      </c>
      <c r="E41" s="73" t="s">
        <v>27</v>
      </c>
      <c r="F41" s="74" t="s">
        <v>8</v>
      </c>
      <c r="G41" s="72" t="s">
        <v>8</v>
      </c>
      <c r="H41" s="72" t="s">
        <v>357</v>
      </c>
      <c r="J41" s="1"/>
    </row>
    <row r="42" spans="2:10" s="32" customFormat="1" ht="19.5" customHeight="1" x14ac:dyDescent="0.25">
      <c r="B42" s="78"/>
      <c r="C42" s="78"/>
      <c r="D42" s="78"/>
      <c r="E42" s="78"/>
      <c r="F42" s="79"/>
      <c r="G42" s="79"/>
      <c r="H42" s="3"/>
    </row>
    <row r="43" spans="2:10" s="85" customFormat="1" ht="30" customHeight="1" x14ac:dyDescent="0.25">
      <c r="B43" s="84"/>
      <c r="C43" s="84" t="s">
        <v>219</v>
      </c>
      <c r="D43" s="84"/>
      <c r="F43" s="86"/>
      <c r="G43" s="86"/>
      <c r="H43" s="86"/>
    </row>
    <row r="44" spans="2:10" customFormat="1" ht="43.5" customHeight="1" x14ac:dyDescent="0.25">
      <c r="B44" s="35" t="s">
        <v>9</v>
      </c>
      <c r="C44" s="35" t="s">
        <v>224</v>
      </c>
      <c r="D44" s="35" t="s">
        <v>10</v>
      </c>
      <c r="E44" s="35" t="s">
        <v>11</v>
      </c>
      <c r="F44" s="36" t="s">
        <v>12</v>
      </c>
      <c r="G44" s="36" t="s">
        <v>165</v>
      </c>
      <c r="H44" s="36" t="s">
        <v>169</v>
      </c>
    </row>
    <row r="45" spans="2:10" ht="75" customHeight="1" x14ac:dyDescent="0.3">
      <c r="B45" s="73" t="s">
        <v>431</v>
      </c>
      <c r="C45" s="73" t="s">
        <v>225</v>
      </c>
      <c r="D45" s="73" t="s">
        <v>41</v>
      </c>
      <c r="E45" s="73" t="s">
        <v>27</v>
      </c>
      <c r="F45" s="74" t="s">
        <v>2</v>
      </c>
      <c r="G45" s="72" t="s">
        <v>361</v>
      </c>
      <c r="H45" s="72" t="s">
        <v>364</v>
      </c>
    </row>
    <row r="46" spans="2:10" ht="75" customHeight="1" x14ac:dyDescent="0.3">
      <c r="B46" s="73" t="s">
        <v>432</v>
      </c>
      <c r="C46" s="73" t="s">
        <v>225</v>
      </c>
      <c r="D46" s="73" t="s">
        <v>41</v>
      </c>
      <c r="E46" s="73" t="s">
        <v>27</v>
      </c>
      <c r="F46" s="74" t="s">
        <v>2</v>
      </c>
      <c r="G46" s="72" t="s">
        <v>363</v>
      </c>
      <c r="H46" s="72" t="s">
        <v>362</v>
      </c>
    </row>
    <row r="47" spans="2:10" ht="75" customHeight="1" x14ac:dyDescent="0.3">
      <c r="B47" s="73" t="s">
        <v>433</v>
      </c>
      <c r="C47" s="73" t="s">
        <v>225</v>
      </c>
      <c r="D47" s="73" t="s">
        <v>41</v>
      </c>
      <c r="E47" s="73" t="s">
        <v>27</v>
      </c>
      <c r="F47" s="74" t="s">
        <v>2</v>
      </c>
      <c r="G47" s="72" t="s">
        <v>185</v>
      </c>
      <c r="H47" s="72" t="s">
        <v>276</v>
      </c>
    </row>
    <row r="48" spans="2:10" ht="75" customHeight="1" x14ac:dyDescent="0.3">
      <c r="B48" s="73" t="s">
        <v>434</v>
      </c>
      <c r="C48" s="73" t="s">
        <v>225</v>
      </c>
      <c r="D48" s="73" t="s">
        <v>41</v>
      </c>
      <c r="E48" s="73" t="s">
        <v>27</v>
      </c>
      <c r="F48" s="74" t="s">
        <v>2</v>
      </c>
      <c r="G48" s="72" t="s">
        <v>186</v>
      </c>
      <c r="H48" s="72" t="s">
        <v>277</v>
      </c>
    </row>
    <row r="49" spans="2:8" ht="123.75" customHeight="1" x14ac:dyDescent="0.3">
      <c r="B49" s="73" t="s">
        <v>435</v>
      </c>
      <c r="C49" s="73" t="s">
        <v>225</v>
      </c>
      <c r="D49" s="73" t="s">
        <v>41</v>
      </c>
      <c r="E49" s="73" t="s">
        <v>27</v>
      </c>
      <c r="F49" s="74" t="s">
        <v>2</v>
      </c>
      <c r="G49" s="72" t="s">
        <v>187</v>
      </c>
      <c r="H49" s="72" t="s">
        <v>278</v>
      </c>
    </row>
    <row r="50" spans="2:8" ht="75" customHeight="1" x14ac:dyDescent="0.3">
      <c r="B50" s="73" t="s">
        <v>436</v>
      </c>
      <c r="C50" s="73" t="s">
        <v>225</v>
      </c>
      <c r="D50" s="73" t="s">
        <v>41</v>
      </c>
      <c r="E50" s="73" t="s">
        <v>27</v>
      </c>
      <c r="F50" s="74" t="s">
        <v>2</v>
      </c>
      <c r="G50" s="72" t="s">
        <v>188</v>
      </c>
      <c r="H50" s="72" t="s">
        <v>279</v>
      </c>
    </row>
    <row r="51" spans="2:8" ht="75" customHeight="1" x14ac:dyDescent="0.3">
      <c r="B51" s="73" t="s">
        <v>437</v>
      </c>
      <c r="C51" s="73" t="s">
        <v>225</v>
      </c>
      <c r="D51" s="73" t="s">
        <v>41</v>
      </c>
      <c r="E51" s="73" t="s">
        <v>27</v>
      </c>
      <c r="F51" s="74" t="s">
        <v>2</v>
      </c>
      <c r="G51" s="72" t="s">
        <v>189</v>
      </c>
      <c r="H51" s="72" t="s">
        <v>280</v>
      </c>
    </row>
    <row r="52" spans="2:8" ht="75" customHeight="1" x14ac:dyDescent="0.3">
      <c r="B52" s="73" t="s">
        <v>438</v>
      </c>
      <c r="C52" s="73" t="s">
        <v>225</v>
      </c>
      <c r="D52" s="73" t="s">
        <v>41</v>
      </c>
      <c r="E52" s="73" t="s">
        <v>27</v>
      </c>
      <c r="F52" s="74" t="s">
        <v>2</v>
      </c>
      <c r="G52" s="72" t="s">
        <v>190</v>
      </c>
      <c r="H52" s="72" t="s">
        <v>281</v>
      </c>
    </row>
    <row r="53" spans="2:8" ht="75" customHeight="1" x14ac:dyDescent="0.3">
      <c r="B53" s="73" t="s">
        <v>439</v>
      </c>
      <c r="C53" s="73" t="s">
        <v>225</v>
      </c>
      <c r="D53" s="73" t="s">
        <v>41</v>
      </c>
      <c r="E53" s="73" t="s">
        <v>27</v>
      </c>
      <c r="F53" s="74" t="s">
        <v>2</v>
      </c>
      <c r="G53" s="72" t="s">
        <v>191</v>
      </c>
      <c r="H53" s="72" t="s">
        <v>282</v>
      </c>
    </row>
    <row r="54" spans="2:8" ht="75" customHeight="1" x14ac:dyDescent="0.3">
      <c r="B54" s="73" t="s">
        <v>440</v>
      </c>
      <c r="C54" s="73" t="s">
        <v>225</v>
      </c>
      <c r="D54" s="73" t="s">
        <v>41</v>
      </c>
      <c r="E54" s="73" t="s">
        <v>27</v>
      </c>
      <c r="F54" s="74" t="s">
        <v>2</v>
      </c>
      <c r="G54" s="72" t="s">
        <v>15</v>
      </c>
      <c r="H54" s="72" t="s">
        <v>283</v>
      </c>
    </row>
    <row r="55" spans="2:8" s="32" customFormat="1" ht="19.5" customHeight="1" x14ac:dyDescent="0.25">
      <c r="B55" s="78"/>
      <c r="C55" s="78"/>
      <c r="D55" s="78"/>
      <c r="E55" s="78"/>
      <c r="F55" s="79"/>
      <c r="G55" s="79"/>
      <c r="H55" s="3"/>
    </row>
    <row r="56" spans="2:8" s="32" customFormat="1" ht="30" customHeight="1" x14ac:dyDescent="0.25">
      <c r="B56" s="80"/>
      <c r="C56" s="80" t="s">
        <v>220</v>
      </c>
      <c r="D56" s="80"/>
      <c r="E56" s="78"/>
      <c r="F56" s="79"/>
      <c r="G56" s="79"/>
      <c r="H56" s="3"/>
    </row>
    <row r="57" spans="2:8" customFormat="1" ht="43.5" customHeight="1" x14ac:dyDescent="0.25">
      <c r="B57" s="35" t="s">
        <v>9</v>
      </c>
      <c r="C57" s="35" t="s">
        <v>224</v>
      </c>
      <c r="D57" s="35" t="s">
        <v>10</v>
      </c>
      <c r="E57" s="35" t="s">
        <v>11</v>
      </c>
      <c r="F57" s="36" t="s">
        <v>12</v>
      </c>
      <c r="G57" s="36" t="s">
        <v>165</v>
      </c>
      <c r="H57" s="36" t="s">
        <v>169</v>
      </c>
    </row>
    <row r="58" spans="2:8" ht="89.25" customHeight="1" x14ac:dyDescent="0.3">
      <c r="B58" s="73" t="s">
        <v>441</v>
      </c>
      <c r="C58" s="73" t="s">
        <v>225</v>
      </c>
      <c r="D58" s="73" t="s">
        <v>41</v>
      </c>
      <c r="E58" s="73" t="s">
        <v>27</v>
      </c>
      <c r="F58" s="74" t="s">
        <v>2</v>
      </c>
      <c r="G58" s="72" t="s">
        <v>170</v>
      </c>
      <c r="H58" s="72" t="s">
        <v>284</v>
      </c>
    </row>
    <row r="59" spans="2:8" ht="75" customHeight="1" x14ac:dyDescent="0.3">
      <c r="B59" s="73" t="s">
        <v>442</v>
      </c>
      <c r="C59" s="73" t="s">
        <v>225</v>
      </c>
      <c r="D59" s="73" t="s">
        <v>41</v>
      </c>
      <c r="E59" s="73" t="s">
        <v>27</v>
      </c>
      <c r="F59" s="74" t="s">
        <v>2</v>
      </c>
      <c r="G59" s="72" t="s">
        <v>176</v>
      </c>
      <c r="H59" s="72" t="s">
        <v>285</v>
      </c>
    </row>
    <row r="60" spans="2:8" ht="75" customHeight="1" x14ac:dyDescent="0.3">
      <c r="B60" s="73" t="s">
        <v>443</v>
      </c>
      <c r="C60" s="73" t="s">
        <v>225</v>
      </c>
      <c r="D60" s="73" t="s">
        <v>41</v>
      </c>
      <c r="E60" s="73" t="s">
        <v>27</v>
      </c>
      <c r="F60" s="74" t="s">
        <v>2</v>
      </c>
      <c r="G60" s="72" t="s">
        <v>171</v>
      </c>
      <c r="H60" s="72" t="s">
        <v>286</v>
      </c>
    </row>
    <row r="61" spans="2:8" ht="75" customHeight="1" x14ac:dyDescent="0.3">
      <c r="B61" s="73" t="s">
        <v>444</v>
      </c>
      <c r="C61" s="73" t="s">
        <v>225</v>
      </c>
      <c r="D61" s="73" t="s">
        <v>41</v>
      </c>
      <c r="E61" s="73" t="s">
        <v>27</v>
      </c>
      <c r="F61" s="74" t="s">
        <v>2</v>
      </c>
      <c r="G61" s="72" t="s">
        <v>174</v>
      </c>
      <c r="H61" s="72" t="s">
        <v>287</v>
      </c>
    </row>
    <row r="62" spans="2:8" ht="75" customHeight="1" x14ac:dyDescent="0.3">
      <c r="B62" s="73" t="s">
        <v>445</v>
      </c>
      <c r="C62" s="73" t="s">
        <v>225</v>
      </c>
      <c r="D62" s="73" t="s">
        <v>41</v>
      </c>
      <c r="E62" s="73" t="s">
        <v>27</v>
      </c>
      <c r="F62" s="74" t="s">
        <v>2</v>
      </c>
      <c r="G62" s="72" t="s">
        <v>177</v>
      </c>
      <c r="H62" s="72" t="s">
        <v>288</v>
      </c>
    </row>
    <row r="63" spans="2:8" ht="75" customHeight="1" x14ac:dyDescent="0.3">
      <c r="B63" s="73" t="s">
        <v>446</v>
      </c>
      <c r="C63" s="73" t="s">
        <v>225</v>
      </c>
      <c r="D63" s="73" t="s">
        <v>41</v>
      </c>
      <c r="E63" s="73" t="s">
        <v>27</v>
      </c>
      <c r="F63" s="74" t="s">
        <v>2</v>
      </c>
      <c r="G63" s="72" t="s">
        <v>179</v>
      </c>
      <c r="H63" s="72" t="s">
        <v>289</v>
      </c>
    </row>
    <row r="64" spans="2:8" ht="75" customHeight="1" x14ac:dyDescent="0.3">
      <c r="B64" s="73" t="s">
        <v>447</v>
      </c>
      <c r="C64" s="73" t="s">
        <v>225</v>
      </c>
      <c r="D64" s="73" t="s">
        <v>41</v>
      </c>
      <c r="E64" s="73" t="s">
        <v>27</v>
      </c>
      <c r="F64" s="74" t="s">
        <v>2</v>
      </c>
      <c r="G64" s="72" t="s">
        <v>181</v>
      </c>
      <c r="H64" s="72" t="s">
        <v>290</v>
      </c>
    </row>
    <row r="65" spans="2:8" ht="75" customHeight="1" x14ac:dyDescent="0.3">
      <c r="B65" s="73" t="s">
        <v>448</v>
      </c>
      <c r="C65" s="73" t="s">
        <v>225</v>
      </c>
      <c r="D65" s="73" t="s">
        <v>41</v>
      </c>
      <c r="E65" s="73" t="s">
        <v>27</v>
      </c>
      <c r="F65" s="74" t="s">
        <v>2</v>
      </c>
      <c r="G65" s="72" t="s">
        <v>201</v>
      </c>
      <c r="H65" s="72" t="s">
        <v>291</v>
      </c>
    </row>
    <row r="66" spans="2:8" ht="75" customHeight="1" x14ac:dyDescent="0.3">
      <c r="B66" s="73" t="s">
        <v>449</v>
      </c>
      <c r="C66" s="73" t="s">
        <v>225</v>
      </c>
      <c r="D66" s="73" t="s">
        <v>41</v>
      </c>
      <c r="E66" s="73" t="s">
        <v>27</v>
      </c>
      <c r="F66" s="74" t="s">
        <v>2</v>
      </c>
      <c r="G66" s="72" t="s">
        <v>202</v>
      </c>
      <c r="H66" s="72" t="s">
        <v>292</v>
      </c>
    </row>
    <row r="67" spans="2:8" s="32" customFormat="1" ht="19.5" customHeight="1" x14ac:dyDescent="0.25">
      <c r="B67" s="78"/>
      <c r="C67" s="78"/>
      <c r="D67" s="78"/>
      <c r="E67" s="78"/>
      <c r="F67" s="79"/>
      <c r="G67" s="79"/>
      <c r="H67" s="3"/>
    </row>
    <row r="68" spans="2:8" s="32" customFormat="1" ht="30" customHeight="1" x14ac:dyDescent="0.25">
      <c r="B68" s="80"/>
      <c r="C68" s="80" t="s">
        <v>221</v>
      </c>
      <c r="D68" s="80"/>
      <c r="E68" s="78"/>
      <c r="F68" s="79"/>
      <c r="G68" s="79"/>
      <c r="H68" s="3"/>
    </row>
    <row r="69" spans="2:8" customFormat="1" ht="43.5" customHeight="1" x14ac:dyDescent="0.25">
      <c r="B69" s="35" t="s">
        <v>9</v>
      </c>
      <c r="C69" s="35" t="s">
        <v>224</v>
      </c>
      <c r="D69" s="35" t="s">
        <v>10</v>
      </c>
      <c r="E69" s="35" t="s">
        <v>11</v>
      </c>
      <c r="F69" s="36" t="s">
        <v>12</v>
      </c>
      <c r="G69" s="36" t="s">
        <v>165</v>
      </c>
      <c r="H69" s="36" t="s">
        <v>169</v>
      </c>
    </row>
    <row r="70" spans="2:8" ht="63" x14ac:dyDescent="0.3">
      <c r="B70" s="73" t="s">
        <v>450</v>
      </c>
      <c r="C70" s="73" t="s">
        <v>225</v>
      </c>
      <c r="D70" s="73" t="s">
        <v>41</v>
      </c>
      <c r="E70" s="73" t="s">
        <v>27</v>
      </c>
      <c r="F70" s="74" t="s">
        <v>2</v>
      </c>
      <c r="G70" s="72" t="s">
        <v>187</v>
      </c>
      <c r="H70" s="72" t="s">
        <v>293</v>
      </c>
    </row>
    <row r="71" spans="2:8" ht="75" customHeight="1" x14ac:dyDescent="0.3">
      <c r="B71" s="73" t="s">
        <v>451</v>
      </c>
      <c r="C71" s="73" t="s">
        <v>225</v>
      </c>
      <c r="D71" s="73" t="s">
        <v>41</v>
      </c>
      <c r="E71" s="73" t="s">
        <v>27</v>
      </c>
      <c r="F71" s="74" t="s">
        <v>2</v>
      </c>
      <c r="G71" s="72" t="s">
        <v>185</v>
      </c>
      <c r="H71" s="72" t="s">
        <v>294</v>
      </c>
    </row>
    <row r="72" spans="2:8" ht="75" customHeight="1" x14ac:dyDescent="0.3">
      <c r="B72" s="73" t="s">
        <v>452</v>
      </c>
      <c r="C72" s="73" t="s">
        <v>225</v>
      </c>
      <c r="D72" s="73" t="s">
        <v>41</v>
      </c>
      <c r="E72" s="73" t="s">
        <v>27</v>
      </c>
      <c r="F72" s="74" t="s">
        <v>2</v>
      </c>
      <c r="G72" s="72" t="s">
        <v>186</v>
      </c>
      <c r="H72" s="72" t="s">
        <v>295</v>
      </c>
    </row>
    <row r="73" spans="2:8" ht="75" customHeight="1" x14ac:dyDescent="0.3">
      <c r="B73" s="73" t="s">
        <v>453</v>
      </c>
      <c r="C73" s="73" t="s">
        <v>225</v>
      </c>
      <c r="D73" s="73" t="s">
        <v>41</v>
      </c>
      <c r="E73" s="73" t="s">
        <v>27</v>
      </c>
      <c r="F73" s="74" t="s">
        <v>2</v>
      </c>
      <c r="G73" s="72" t="s">
        <v>188</v>
      </c>
      <c r="H73" s="72" t="s">
        <v>296</v>
      </c>
    </row>
    <row r="74" spans="2:8" ht="75" customHeight="1" x14ac:dyDescent="0.3">
      <c r="B74" s="73" t="s">
        <v>454</v>
      </c>
      <c r="C74" s="73" t="s">
        <v>225</v>
      </c>
      <c r="D74" s="73" t="s">
        <v>41</v>
      </c>
      <c r="E74" s="73" t="s">
        <v>27</v>
      </c>
      <c r="F74" s="74" t="s">
        <v>2</v>
      </c>
      <c r="G74" s="72" t="s">
        <v>189</v>
      </c>
      <c r="H74" s="72" t="s">
        <v>297</v>
      </c>
    </row>
    <row r="75" spans="2:8" ht="75" customHeight="1" x14ac:dyDescent="0.3">
      <c r="B75" s="73" t="s">
        <v>455</v>
      </c>
      <c r="C75" s="73" t="s">
        <v>225</v>
      </c>
      <c r="D75" s="73" t="s">
        <v>41</v>
      </c>
      <c r="E75" s="73" t="s">
        <v>27</v>
      </c>
      <c r="F75" s="74" t="s">
        <v>2</v>
      </c>
      <c r="G75" s="72" t="s">
        <v>190</v>
      </c>
      <c r="H75" s="72" t="s">
        <v>298</v>
      </c>
    </row>
    <row r="76" spans="2:8" ht="75" customHeight="1" x14ac:dyDescent="0.3">
      <c r="B76" s="73" t="s">
        <v>456</v>
      </c>
      <c r="C76" s="73" t="s">
        <v>225</v>
      </c>
      <c r="D76" s="73" t="s">
        <v>41</v>
      </c>
      <c r="E76" s="73" t="s">
        <v>27</v>
      </c>
      <c r="F76" s="74" t="s">
        <v>2</v>
      </c>
      <c r="G76" s="72" t="s">
        <v>15</v>
      </c>
      <c r="H76" s="72" t="s">
        <v>299</v>
      </c>
    </row>
    <row r="77" spans="2:8" s="32" customFormat="1" ht="19.5" customHeight="1" x14ac:dyDescent="0.25">
      <c r="B77" s="78"/>
      <c r="C77" s="78"/>
      <c r="D77" s="78"/>
      <c r="E77" s="78"/>
      <c r="F77" s="79"/>
      <c r="G77" s="79"/>
      <c r="H77" s="3"/>
    </row>
    <row r="78" spans="2:8" s="32" customFormat="1" ht="30" customHeight="1" x14ac:dyDescent="0.25">
      <c r="B78" s="80"/>
      <c r="C78" s="80" t="s">
        <v>222</v>
      </c>
      <c r="D78" s="80"/>
      <c r="E78" s="78"/>
      <c r="F78" s="79"/>
      <c r="G78" s="79"/>
      <c r="H78" s="3"/>
    </row>
    <row r="79" spans="2:8" customFormat="1" ht="43.5" customHeight="1" x14ac:dyDescent="0.25">
      <c r="B79" s="35" t="s">
        <v>9</v>
      </c>
      <c r="C79" s="35" t="s">
        <v>224</v>
      </c>
      <c r="D79" s="35" t="s">
        <v>10</v>
      </c>
      <c r="E79" s="35" t="s">
        <v>11</v>
      </c>
      <c r="F79" s="36" t="s">
        <v>12</v>
      </c>
      <c r="G79" s="36" t="s">
        <v>165</v>
      </c>
      <c r="H79" s="36" t="s">
        <v>169</v>
      </c>
    </row>
    <row r="80" spans="2:8" ht="63" x14ac:dyDescent="0.3">
      <c r="B80" s="73" t="s">
        <v>457</v>
      </c>
      <c r="C80" s="73" t="s">
        <v>225</v>
      </c>
      <c r="D80" s="73" t="s">
        <v>41</v>
      </c>
      <c r="E80" s="73" t="s">
        <v>27</v>
      </c>
      <c r="F80" s="74" t="s">
        <v>2</v>
      </c>
      <c r="G80" s="72" t="s">
        <v>187</v>
      </c>
      <c r="H80" s="72" t="s">
        <v>300</v>
      </c>
    </row>
    <row r="81" spans="2:8" ht="75" customHeight="1" x14ac:dyDescent="0.3">
      <c r="B81" s="73" t="s">
        <v>458</v>
      </c>
      <c r="C81" s="73" t="s">
        <v>225</v>
      </c>
      <c r="D81" s="73" t="s">
        <v>41</v>
      </c>
      <c r="E81" s="73" t="s">
        <v>27</v>
      </c>
      <c r="F81" s="74" t="s">
        <v>2</v>
      </c>
      <c r="G81" s="72" t="s">
        <v>185</v>
      </c>
      <c r="H81" s="72" t="s">
        <v>301</v>
      </c>
    </row>
    <row r="82" spans="2:8" ht="75" customHeight="1" x14ac:dyDescent="0.3">
      <c r="B82" s="73" t="s">
        <v>459</v>
      </c>
      <c r="C82" s="73" t="s">
        <v>225</v>
      </c>
      <c r="D82" s="73" t="s">
        <v>41</v>
      </c>
      <c r="E82" s="73" t="s">
        <v>27</v>
      </c>
      <c r="F82" s="74" t="s">
        <v>2</v>
      </c>
      <c r="G82" s="72" t="s">
        <v>186</v>
      </c>
      <c r="H82" s="72" t="s">
        <v>302</v>
      </c>
    </row>
    <row r="83" spans="2:8" ht="75" customHeight="1" x14ac:dyDescent="0.3">
      <c r="B83" s="73" t="s">
        <v>460</v>
      </c>
      <c r="C83" s="73" t="s">
        <v>225</v>
      </c>
      <c r="D83" s="73" t="s">
        <v>41</v>
      </c>
      <c r="E83" s="73" t="s">
        <v>27</v>
      </c>
      <c r="F83" s="74" t="s">
        <v>2</v>
      </c>
      <c r="G83" s="72" t="s">
        <v>188</v>
      </c>
      <c r="H83" s="72" t="s">
        <v>303</v>
      </c>
    </row>
    <row r="84" spans="2:8" ht="75" customHeight="1" x14ac:dyDescent="0.3">
      <c r="B84" s="73" t="s">
        <v>461</v>
      </c>
      <c r="C84" s="73" t="s">
        <v>225</v>
      </c>
      <c r="D84" s="73" t="s">
        <v>41</v>
      </c>
      <c r="E84" s="73" t="s">
        <v>27</v>
      </c>
      <c r="F84" s="74" t="s">
        <v>2</v>
      </c>
      <c r="G84" s="72" t="s">
        <v>189</v>
      </c>
      <c r="H84" s="72" t="s">
        <v>304</v>
      </c>
    </row>
    <row r="85" spans="2:8" ht="75" customHeight="1" x14ac:dyDescent="0.3">
      <c r="B85" s="73" t="s">
        <v>462</v>
      </c>
      <c r="C85" s="73" t="s">
        <v>225</v>
      </c>
      <c r="D85" s="73" t="s">
        <v>41</v>
      </c>
      <c r="E85" s="73" t="s">
        <v>27</v>
      </c>
      <c r="F85" s="74" t="s">
        <v>2</v>
      </c>
      <c r="G85" s="72" t="s">
        <v>190</v>
      </c>
      <c r="H85" s="72" t="s">
        <v>305</v>
      </c>
    </row>
    <row r="86" spans="2:8" ht="75" customHeight="1" x14ac:dyDescent="0.3">
      <c r="B86" s="73" t="s">
        <v>463</v>
      </c>
      <c r="C86" s="73" t="s">
        <v>225</v>
      </c>
      <c r="D86" s="73" t="s">
        <v>41</v>
      </c>
      <c r="E86" s="73" t="s">
        <v>27</v>
      </c>
      <c r="F86" s="74" t="s">
        <v>2</v>
      </c>
      <c r="G86" s="72" t="s">
        <v>15</v>
      </c>
      <c r="H86" s="72" t="s">
        <v>306</v>
      </c>
    </row>
    <row r="87" spans="2:8" customFormat="1" ht="15" x14ac:dyDescent="0.25">
      <c r="B87" s="81"/>
      <c r="C87" s="81"/>
      <c r="D87" s="81"/>
      <c r="E87" s="81"/>
      <c r="F87" s="82"/>
      <c r="G87" s="82"/>
      <c r="H87" s="34"/>
    </row>
    <row r="88" spans="2:8" s="32" customFormat="1" ht="30" customHeight="1" x14ac:dyDescent="0.25">
      <c r="B88" s="80"/>
      <c r="C88" s="80" t="s">
        <v>242</v>
      </c>
      <c r="D88" s="80"/>
      <c r="E88" s="78"/>
      <c r="F88" s="79"/>
      <c r="G88" s="79"/>
      <c r="H88" s="3"/>
    </row>
    <row r="89" spans="2:8" customFormat="1" ht="43.5" customHeight="1" x14ac:dyDescent="0.25">
      <c r="B89" s="35" t="s">
        <v>9</v>
      </c>
      <c r="C89" s="35" t="s">
        <v>224</v>
      </c>
      <c r="D89" s="35" t="s">
        <v>10</v>
      </c>
      <c r="E89" s="35" t="s">
        <v>11</v>
      </c>
      <c r="F89" s="36" t="s">
        <v>12</v>
      </c>
      <c r="G89" s="36" t="s">
        <v>165</v>
      </c>
      <c r="H89" s="36" t="s">
        <v>169</v>
      </c>
    </row>
    <row r="90" spans="2:8" customFormat="1" ht="47.25" x14ac:dyDescent="0.25">
      <c r="B90" s="73" t="s">
        <v>464</v>
      </c>
      <c r="C90" s="73" t="s">
        <v>225</v>
      </c>
      <c r="D90" s="73" t="s">
        <v>41</v>
      </c>
      <c r="E90" s="73" t="s">
        <v>27</v>
      </c>
      <c r="F90" s="74" t="s">
        <v>52</v>
      </c>
      <c r="G90" s="76" t="s">
        <v>33</v>
      </c>
      <c r="H90" s="76" t="s">
        <v>307</v>
      </c>
    </row>
    <row r="91" spans="2:8" customFormat="1" ht="47.25" x14ac:dyDescent="0.25">
      <c r="B91" s="73" t="s">
        <v>465</v>
      </c>
      <c r="C91" s="73" t="s">
        <v>225</v>
      </c>
      <c r="D91" s="73" t="s">
        <v>41</v>
      </c>
      <c r="E91" s="73" t="s">
        <v>27</v>
      </c>
      <c r="F91" s="74" t="s">
        <v>52</v>
      </c>
      <c r="G91" s="76" t="s">
        <v>14</v>
      </c>
      <c r="H91" s="76" t="s">
        <v>308</v>
      </c>
    </row>
    <row r="92" spans="2:8" customFormat="1" ht="47.25" x14ac:dyDescent="0.25">
      <c r="B92" s="73" t="s">
        <v>466</v>
      </c>
      <c r="C92" s="73" t="s">
        <v>225</v>
      </c>
      <c r="D92" s="73" t="s">
        <v>41</v>
      </c>
      <c r="E92" s="73" t="s">
        <v>27</v>
      </c>
      <c r="F92" s="74" t="s">
        <v>52</v>
      </c>
      <c r="G92" s="76" t="s">
        <v>154</v>
      </c>
      <c r="H92" s="76" t="s">
        <v>309</v>
      </c>
    </row>
    <row r="93" spans="2:8" customFormat="1" ht="47.25" x14ac:dyDescent="0.25">
      <c r="B93" s="73" t="s">
        <v>467</v>
      </c>
      <c r="C93" s="73" t="s">
        <v>225</v>
      </c>
      <c r="D93" s="73" t="s">
        <v>41</v>
      </c>
      <c r="E93" s="73" t="s">
        <v>27</v>
      </c>
      <c r="F93" s="74" t="s">
        <v>52</v>
      </c>
      <c r="G93" s="76" t="s">
        <v>226</v>
      </c>
      <c r="H93" s="76" t="s">
        <v>310</v>
      </c>
    </row>
    <row r="94" spans="2:8" customFormat="1" ht="15" x14ac:dyDescent="0.25">
      <c r="B94" s="81"/>
      <c r="C94" s="81"/>
      <c r="D94" s="81"/>
      <c r="E94" s="81"/>
      <c r="F94" s="82"/>
      <c r="G94" s="82"/>
      <c r="H94" s="34"/>
    </row>
    <row r="95" spans="2:8" s="32" customFormat="1" ht="30" customHeight="1" x14ac:dyDescent="0.25">
      <c r="B95" s="80"/>
      <c r="C95" s="80" t="s">
        <v>243</v>
      </c>
      <c r="D95" s="80"/>
      <c r="E95" s="78"/>
      <c r="F95" s="79"/>
      <c r="G95" s="79"/>
      <c r="H95" s="3"/>
    </row>
    <row r="96" spans="2:8" customFormat="1" ht="43.5" customHeight="1" x14ac:dyDescent="0.25">
      <c r="B96" s="35" t="s">
        <v>9</v>
      </c>
      <c r="C96" s="35" t="s">
        <v>224</v>
      </c>
      <c r="D96" s="35" t="s">
        <v>10</v>
      </c>
      <c r="E96" s="35" t="s">
        <v>11</v>
      </c>
      <c r="F96" s="36" t="s">
        <v>12</v>
      </c>
      <c r="G96" s="36" t="s">
        <v>165</v>
      </c>
      <c r="H96" s="36" t="s">
        <v>169</v>
      </c>
    </row>
    <row r="97" spans="2:8" customFormat="1" ht="47.25" x14ac:dyDescent="0.25">
      <c r="B97" s="73" t="s">
        <v>468</v>
      </c>
      <c r="C97" s="73" t="s">
        <v>225</v>
      </c>
      <c r="D97" s="73" t="s">
        <v>41</v>
      </c>
      <c r="E97" s="73" t="s">
        <v>27</v>
      </c>
      <c r="F97" s="74" t="s">
        <v>52</v>
      </c>
      <c r="G97" s="76" t="s">
        <v>150</v>
      </c>
      <c r="H97" s="76" t="s">
        <v>311</v>
      </c>
    </row>
    <row r="98" spans="2:8" customFormat="1" ht="31.5" x14ac:dyDescent="0.25">
      <c r="B98" s="73" t="s">
        <v>469</v>
      </c>
      <c r="C98" s="73" t="s">
        <v>225</v>
      </c>
      <c r="D98" s="73" t="s">
        <v>41</v>
      </c>
      <c r="E98" s="73" t="s">
        <v>27</v>
      </c>
      <c r="F98" s="74" t="s">
        <v>52</v>
      </c>
      <c r="G98" s="76" t="s">
        <v>33</v>
      </c>
      <c r="H98" s="76" t="s">
        <v>312</v>
      </c>
    </row>
    <row r="99" spans="2:8" customFormat="1" ht="31.5" x14ac:dyDescent="0.25">
      <c r="B99" s="73" t="s">
        <v>470</v>
      </c>
      <c r="C99" s="73" t="s">
        <v>225</v>
      </c>
      <c r="D99" s="73" t="s">
        <v>41</v>
      </c>
      <c r="E99" s="73" t="s">
        <v>27</v>
      </c>
      <c r="F99" s="74" t="s">
        <v>52</v>
      </c>
      <c r="G99" s="76" t="s">
        <v>152</v>
      </c>
      <c r="H99" s="76" t="s">
        <v>313</v>
      </c>
    </row>
    <row r="100" spans="2:8" customFormat="1" ht="47.25" x14ac:dyDescent="0.25">
      <c r="B100" s="73" t="s">
        <v>471</v>
      </c>
      <c r="C100" s="73" t="s">
        <v>225</v>
      </c>
      <c r="D100" s="73" t="s">
        <v>41</v>
      </c>
      <c r="E100" s="73" t="s">
        <v>27</v>
      </c>
      <c r="F100" s="74" t="s">
        <v>52</v>
      </c>
      <c r="G100" s="76" t="s">
        <v>151</v>
      </c>
      <c r="H100" s="76" t="s">
        <v>314</v>
      </c>
    </row>
    <row r="101" spans="2:8" customFormat="1" ht="31.5" x14ac:dyDescent="0.25">
      <c r="B101" s="73" t="s">
        <v>472</v>
      </c>
      <c r="C101" s="73" t="s">
        <v>225</v>
      </c>
      <c r="D101" s="73" t="s">
        <v>41</v>
      </c>
      <c r="E101" s="73" t="s">
        <v>27</v>
      </c>
      <c r="F101" s="74" t="s">
        <v>52</v>
      </c>
      <c r="G101" s="76" t="s">
        <v>153</v>
      </c>
      <c r="H101" s="76" t="s">
        <v>315</v>
      </c>
    </row>
    <row r="102" spans="2:8" customFormat="1" ht="47.25" x14ac:dyDescent="0.25">
      <c r="B102" s="73" t="s">
        <v>473</v>
      </c>
      <c r="C102" s="73" t="s">
        <v>225</v>
      </c>
      <c r="D102" s="73" t="s">
        <v>41</v>
      </c>
      <c r="E102" s="73" t="s">
        <v>27</v>
      </c>
      <c r="F102" s="74" t="s">
        <v>52</v>
      </c>
      <c r="G102" s="76" t="s">
        <v>154</v>
      </c>
      <c r="H102" s="76" t="s">
        <v>316</v>
      </c>
    </row>
    <row r="103" spans="2:8" customFormat="1" ht="47.25" x14ac:dyDescent="0.25">
      <c r="B103" s="73" t="s">
        <v>474</v>
      </c>
      <c r="C103" s="73" t="s">
        <v>225</v>
      </c>
      <c r="D103" s="73" t="s">
        <v>41</v>
      </c>
      <c r="E103" s="73" t="s">
        <v>27</v>
      </c>
      <c r="F103" s="74" t="s">
        <v>52</v>
      </c>
      <c r="G103" s="76" t="s">
        <v>226</v>
      </c>
      <c r="H103" s="76" t="s">
        <v>310</v>
      </c>
    </row>
    <row r="104" spans="2:8" customFormat="1" ht="15" x14ac:dyDescent="0.25">
      <c r="B104" s="81"/>
      <c r="C104" s="81"/>
      <c r="D104" s="81"/>
      <c r="E104" s="81"/>
      <c r="F104" s="82"/>
      <c r="G104" s="82"/>
      <c r="H104" s="34"/>
    </row>
    <row r="105" spans="2:8" s="32" customFormat="1" ht="30" customHeight="1" x14ac:dyDescent="0.25">
      <c r="B105" s="80"/>
      <c r="C105" s="80" t="s">
        <v>244</v>
      </c>
      <c r="D105" s="80"/>
      <c r="E105" s="78"/>
      <c r="F105" s="79"/>
      <c r="G105" s="79"/>
      <c r="H105" s="3"/>
    </row>
    <row r="106" spans="2:8" customFormat="1" ht="43.5" customHeight="1" x14ac:dyDescent="0.25">
      <c r="B106" s="35" t="s">
        <v>9</v>
      </c>
      <c r="C106" s="35" t="s">
        <v>224</v>
      </c>
      <c r="D106" s="35" t="s">
        <v>10</v>
      </c>
      <c r="E106" s="35" t="s">
        <v>11</v>
      </c>
      <c r="F106" s="36" t="s">
        <v>12</v>
      </c>
      <c r="G106" s="36" t="s">
        <v>165</v>
      </c>
      <c r="H106" s="36" t="s">
        <v>169</v>
      </c>
    </row>
    <row r="107" spans="2:8" customFormat="1" ht="31.5" x14ac:dyDescent="0.25">
      <c r="B107" s="73" t="s">
        <v>475</v>
      </c>
      <c r="C107" s="73" t="s">
        <v>225</v>
      </c>
      <c r="D107" s="73" t="s">
        <v>41</v>
      </c>
      <c r="E107" s="73" t="s">
        <v>27</v>
      </c>
      <c r="F107" s="74" t="s">
        <v>52</v>
      </c>
      <c r="G107" s="76" t="s">
        <v>142</v>
      </c>
      <c r="H107" s="76" t="s">
        <v>317</v>
      </c>
    </row>
    <row r="108" spans="2:8" customFormat="1" ht="47.25" x14ac:dyDescent="0.25">
      <c r="B108" s="73" t="s">
        <v>476</v>
      </c>
      <c r="C108" s="73" t="s">
        <v>225</v>
      </c>
      <c r="D108" s="73" t="s">
        <v>41</v>
      </c>
      <c r="E108" s="73" t="s">
        <v>27</v>
      </c>
      <c r="F108" s="74" t="s">
        <v>52</v>
      </c>
      <c r="G108" s="76" t="s">
        <v>143</v>
      </c>
      <c r="H108" s="76" t="s">
        <v>318</v>
      </c>
    </row>
    <row r="109" spans="2:8" customFormat="1" ht="47.25" x14ac:dyDescent="0.25">
      <c r="B109" s="73" t="s">
        <v>477</v>
      </c>
      <c r="C109" s="73" t="s">
        <v>225</v>
      </c>
      <c r="D109" s="73" t="s">
        <v>41</v>
      </c>
      <c r="E109" s="73" t="s">
        <v>27</v>
      </c>
      <c r="F109" s="74" t="s">
        <v>52</v>
      </c>
      <c r="G109" s="76" t="s">
        <v>144</v>
      </c>
      <c r="H109" s="76" t="s">
        <v>319</v>
      </c>
    </row>
    <row r="110" spans="2:8" customFormat="1" ht="47.25" x14ac:dyDescent="0.25">
      <c r="B110" s="73" t="s">
        <v>478</v>
      </c>
      <c r="C110" s="73" t="s">
        <v>225</v>
      </c>
      <c r="D110" s="73" t="s">
        <v>41</v>
      </c>
      <c r="E110" s="73" t="s">
        <v>27</v>
      </c>
      <c r="F110" s="74" t="s">
        <v>52</v>
      </c>
      <c r="G110" s="76" t="s">
        <v>149</v>
      </c>
      <c r="H110" s="76" t="s">
        <v>320</v>
      </c>
    </row>
    <row r="111" spans="2:8" customFormat="1" ht="31.5" x14ac:dyDescent="0.25">
      <c r="B111" s="73" t="s">
        <v>479</v>
      </c>
      <c r="C111" s="73" t="s">
        <v>225</v>
      </c>
      <c r="D111" s="73" t="s">
        <v>41</v>
      </c>
      <c r="E111" s="73" t="s">
        <v>27</v>
      </c>
      <c r="F111" s="74" t="s">
        <v>52</v>
      </c>
      <c r="G111" s="76" t="s">
        <v>145</v>
      </c>
      <c r="H111" s="76" t="s">
        <v>321</v>
      </c>
    </row>
    <row r="112" spans="2:8" customFormat="1" ht="47.25" x14ac:dyDescent="0.25">
      <c r="B112" s="73" t="s">
        <v>480</v>
      </c>
      <c r="C112" s="73" t="s">
        <v>225</v>
      </c>
      <c r="D112" s="73" t="s">
        <v>41</v>
      </c>
      <c r="E112" s="73" t="s">
        <v>27</v>
      </c>
      <c r="F112" s="74" t="s">
        <v>52</v>
      </c>
      <c r="G112" s="76" t="s">
        <v>133</v>
      </c>
      <c r="H112" s="76" t="s">
        <v>322</v>
      </c>
    </row>
    <row r="113" spans="2:8" customFormat="1" ht="47.25" x14ac:dyDescent="0.25">
      <c r="B113" s="73" t="s">
        <v>481</v>
      </c>
      <c r="C113" s="73" t="s">
        <v>225</v>
      </c>
      <c r="D113" s="73" t="s">
        <v>41</v>
      </c>
      <c r="E113" s="73" t="s">
        <v>27</v>
      </c>
      <c r="F113" s="74" t="s">
        <v>52</v>
      </c>
      <c r="G113" s="76" t="s">
        <v>146</v>
      </c>
      <c r="H113" s="76" t="s">
        <v>323</v>
      </c>
    </row>
    <row r="114" spans="2:8" customFormat="1" ht="47.25" x14ac:dyDescent="0.25">
      <c r="B114" s="73" t="s">
        <v>482</v>
      </c>
      <c r="C114" s="73" t="s">
        <v>225</v>
      </c>
      <c r="D114" s="73" t="s">
        <v>41</v>
      </c>
      <c r="E114" s="73" t="s">
        <v>27</v>
      </c>
      <c r="F114" s="74" t="s">
        <v>52</v>
      </c>
      <c r="G114" s="76" t="s">
        <v>147</v>
      </c>
      <c r="H114" s="76" t="s">
        <v>324</v>
      </c>
    </row>
    <row r="115" spans="2:8" customFormat="1" ht="47.25" x14ac:dyDescent="0.25">
      <c r="B115" s="73" t="s">
        <v>483</v>
      </c>
      <c r="C115" s="73" t="s">
        <v>225</v>
      </c>
      <c r="D115" s="73" t="s">
        <v>41</v>
      </c>
      <c r="E115" s="73" t="s">
        <v>27</v>
      </c>
      <c r="F115" s="74" t="s">
        <v>52</v>
      </c>
      <c r="G115" s="76" t="s">
        <v>148</v>
      </c>
      <c r="H115" s="76" t="s">
        <v>325</v>
      </c>
    </row>
    <row r="116" spans="2:8" customFormat="1" ht="47.25" x14ac:dyDescent="0.25">
      <c r="B116" s="73" t="s">
        <v>484</v>
      </c>
      <c r="C116" s="73" t="s">
        <v>225</v>
      </c>
      <c r="D116" s="73" t="s">
        <v>41</v>
      </c>
      <c r="E116" s="73" t="s">
        <v>27</v>
      </c>
      <c r="F116" s="74" t="s">
        <v>52</v>
      </c>
      <c r="G116" s="76" t="s">
        <v>226</v>
      </c>
      <c r="H116" s="76" t="s">
        <v>310</v>
      </c>
    </row>
    <row r="117" spans="2:8" customFormat="1" ht="15" x14ac:dyDescent="0.25">
      <c r="B117" s="81"/>
      <c r="C117" s="81"/>
      <c r="D117" s="81"/>
      <c r="E117" s="81"/>
      <c r="F117" s="82"/>
      <c r="G117" s="82"/>
      <c r="H117" s="34"/>
    </row>
    <row r="118" spans="2:8" s="32" customFormat="1" ht="30" customHeight="1" x14ac:dyDescent="0.25">
      <c r="B118" s="80"/>
      <c r="C118" s="80" t="s">
        <v>245</v>
      </c>
      <c r="D118" s="80"/>
      <c r="E118" s="78"/>
      <c r="F118" s="79"/>
      <c r="G118" s="79"/>
      <c r="H118" s="3"/>
    </row>
    <row r="119" spans="2:8" customFormat="1" ht="43.5" customHeight="1" x14ac:dyDescent="0.25">
      <c r="B119" s="35" t="s">
        <v>9</v>
      </c>
      <c r="C119" s="35" t="s">
        <v>224</v>
      </c>
      <c r="D119" s="35" t="s">
        <v>10</v>
      </c>
      <c r="E119" s="35" t="s">
        <v>11</v>
      </c>
      <c r="F119" s="36" t="s">
        <v>12</v>
      </c>
      <c r="G119" s="36" t="s">
        <v>165</v>
      </c>
      <c r="H119" s="36" t="s">
        <v>169</v>
      </c>
    </row>
    <row r="120" spans="2:8" customFormat="1" ht="72" customHeight="1" x14ac:dyDescent="0.25">
      <c r="B120" s="73" t="s">
        <v>485</v>
      </c>
      <c r="C120" s="73" t="s">
        <v>225</v>
      </c>
      <c r="D120" s="73" t="s">
        <v>41</v>
      </c>
      <c r="E120" s="73" t="s">
        <v>27</v>
      </c>
      <c r="F120" s="74" t="s">
        <v>52</v>
      </c>
      <c r="G120" s="76" t="s">
        <v>227</v>
      </c>
      <c r="H120" s="76" t="s">
        <v>326</v>
      </c>
    </row>
    <row r="121" spans="2:8" customFormat="1" ht="63" x14ac:dyDescent="0.25">
      <c r="B121" s="73" t="s">
        <v>486</v>
      </c>
      <c r="C121" s="73" t="s">
        <v>225</v>
      </c>
      <c r="D121" s="73" t="s">
        <v>41</v>
      </c>
      <c r="E121" s="73" t="s">
        <v>27</v>
      </c>
      <c r="F121" s="74" t="s">
        <v>52</v>
      </c>
      <c r="G121" s="76" t="s">
        <v>228</v>
      </c>
      <c r="H121" s="76" t="s">
        <v>327</v>
      </c>
    </row>
    <row r="122" spans="2:8" customFormat="1" ht="63" x14ac:dyDescent="0.25">
      <c r="B122" s="73" t="s">
        <v>487</v>
      </c>
      <c r="C122" s="73" t="s">
        <v>225</v>
      </c>
      <c r="D122" s="73" t="s">
        <v>41</v>
      </c>
      <c r="E122" s="73" t="s">
        <v>27</v>
      </c>
      <c r="F122" s="74" t="s">
        <v>52</v>
      </c>
      <c r="G122" s="76" t="s">
        <v>229</v>
      </c>
      <c r="H122" s="76" t="s">
        <v>328</v>
      </c>
    </row>
    <row r="123" spans="2:8" customFormat="1" ht="94.5" x14ac:dyDescent="0.25">
      <c r="B123" s="73" t="s">
        <v>488</v>
      </c>
      <c r="C123" s="73" t="s">
        <v>225</v>
      </c>
      <c r="D123" s="73" t="s">
        <v>41</v>
      </c>
      <c r="E123" s="73" t="s">
        <v>27</v>
      </c>
      <c r="F123" s="74" t="s">
        <v>52</v>
      </c>
      <c r="G123" s="76" t="s">
        <v>230</v>
      </c>
      <c r="H123" s="76" t="s">
        <v>329</v>
      </c>
    </row>
    <row r="124" spans="2:8" customFormat="1" ht="63" x14ac:dyDescent="0.25">
      <c r="B124" s="73" t="s">
        <v>489</v>
      </c>
      <c r="C124" s="73" t="s">
        <v>225</v>
      </c>
      <c r="D124" s="73" t="s">
        <v>41</v>
      </c>
      <c r="E124" s="73" t="s">
        <v>27</v>
      </c>
      <c r="F124" s="74" t="s">
        <v>52</v>
      </c>
      <c r="G124" s="76" t="s">
        <v>231</v>
      </c>
      <c r="H124" s="76" t="s">
        <v>330</v>
      </c>
    </row>
    <row r="125" spans="2:8" customFormat="1" ht="126" x14ac:dyDescent="0.25">
      <c r="B125" s="73" t="s">
        <v>490</v>
      </c>
      <c r="C125" s="73" t="s">
        <v>225</v>
      </c>
      <c r="D125" s="73" t="s">
        <v>41</v>
      </c>
      <c r="E125" s="73" t="s">
        <v>27</v>
      </c>
      <c r="F125" s="74" t="s">
        <v>52</v>
      </c>
      <c r="G125" s="76" t="s">
        <v>232</v>
      </c>
      <c r="H125" s="76" t="s">
        <v>331</v>
      </c>
    </row>
    <row r="126" spans="2:8" customFormat="1" ht="47.25" x14ac:dyDescent="0.25">
      <c r="B126" s="73" t="s">
        <v>491</v>
      </c>
      <c r="C126" s="73" t="s">
        <v>225</v>
      </c>
      <c r="D126" s="73" t="s">
        <v>41</v>
      </c>
      <c r="E126" s="73" t="s">
        <v>27</v>
      </c>
      <c r="F126" s="74" t="s">
        <v>52</v>
      </c>
      <c r="G126" s="76" t="s">
        <v>233</v>
      </c>
      <c r="H126" s="76" t="s">
        <v>332</v>
      </c>
    </row>
    <row r="127" spans="2:8" customFormat="1" ht="31.5" x14ac:dyDescent="0.25">
      <c r="B127" s="73" t="s">
        <v>492</v>
      </c>
      <c r="C127" s="73" t="s">
        <v>225</v>
      </c>
      <c r="D127" s="73" t="s">
        <v>41</v>
      </c>
      <c r="E127" s="73" t="s">
        <v>27</v>
      </c>
      <c r="F127" s="74" t="s">
        <v>52</v>
      </c>
      <c r="G127" s="76" t="s">
        <v>234</v>
      </c>
      <c r="H127" s="76" t="s">
        <v>333</v>
      </c>
    </row>
    <row r="128" spans="2:8" customFormat="1" ht="47.25" x14ac:dyDescent="0.25">
      <c r="B128" s="73" t="s">
        <v>493</v>
      </c>
      <c r="C128" s="73" t="s">
        <v>225</v>
      </c>
      <c r="D128" s="73" t="s">
        <v>41</v>
      </c>
      <c r="E128" s="73" t="s">
        <v>27</v>
      </c>
      <c r="F128" s="74" t="s">
        <v>52</v>
      </c>
      <c r="G128" s="76" t="s">
        <v>235</v>
      </c>
      <c r="H128" s="76" t="s">
        <v>334</v>
      </c>
    </row>
    <row r="129" spans="2:8" customFormat="1" ht="47.25" x14ac:dyDescent="0.25">
      <c r="B129" s="73" t="s">
        <v>494</v>
      </c>
      <c r="C129" s="73" t="s">
        <v>225</v>
      </c>
      <c r="D129" s="73" t="s">
        <v>41</v>
      </c>
      <c r="E129" s="73" t="s">
        <v>27</v>
      </c>
      <c r="F129" s="74" t="s">
        <v>52</v>
      </c>
      <c r="G129" s="76" t="s">
        <v>236</v>
      </c>
      <c r="H129" s="76" t="s">
        <v>335</v>
      </c>
    </row>
    <row r="130" spans="2:8" customFormat="1" ht="31.5" x14ac:dyDescent="0.25">
      <c r="B130" s="73" t="s">
        <v>495</v>
      </c>
      <c r="C130" s="73" t="s">
        <v>225</v>
      </c>
      <c r="D130" s="73" t="s">
        <v>41</v>
      </c>
      <c r="E130" s="73" t="s">
        <v>27</v>
      </c>
      <c r="F130" s="74" t="s">
        <v>52</v>
      </c>
      <c r="G130" s="76" t="s">
        <v>237</v>
      </c>
      <c r="H130" s="76" t="s">
        <v>336</v>
      </c>
    </row>
    <row r="131" spans="2:8" customFormat="1" ht="31.5" x14ac:dyDescent="0.25">
      <c r="B131" s="73" t="s">
        <v>496</v>
      </c>
      <c r="C131" s="73" t="s">
        <v>225</v>
      </c>
      <c r="D131" s="73" t="s">
        <v>41</v>
      </c>
      <c r="E131" s="73" t="s">
        <v>27</v>
      </c>
      <c r="F131" s="74" t="s">
        <v>52</v>
      </c>
      <c r="G131" s="76" t="s">
        <v>238</v>
      </c>
      <c r="H131" s="76" t="s">
        <v>337</v>
      </c>
    </row>
    <row r="132" spans="2:8" customFormat="1" ht="31.5" x14ac:dyDescent="0.25">
      <c r="B132" s="73" t="s">
        <v>497</v>
      </c>
      <c r="C132" s="73" t="s">
        <v>225</v>
      </c>
      <c r="D132" s="73" t="s">
        <v>41</v>
      </c>
      <c r="E132" s="73" t="s">
        <v>27</v>
      </c>
      <c r="F132" s="74" t="s">
        <v>52</v>
      </c>
      <c r="G132" s="76" t="s">
        <v>239</v>
      </c>
      <c r="H132" s="76" t="s">
        <v>338</v>
      </c>
    </row>
    <row r="133" spans="2:8" customFormat="1" ht="31.5" x14ac:dyDescent="0.25">
      <c r="B133" s="73" t="s">
        <v>498</v>
      </c>
      <c r="C133" s="73" t="s">
        <v>225</v>
      </c>
      <c r="D133" s="73" t="s">
        <v>41</v>
      </c>
      <c r="E133" s="73" t="s">
        <v>27</v>
      </c>
      <c r="F133" s="74" t="s">
        <v>52</v>
      </c>
      <c r="G133" s="76" t="s">
        <v>240</v>
      </c>
      <c r="H133" s="76" t="s">
        <v>339</v>
      </c>
    </row>
    <row r="134" spans="2:8" customFormat="1" ht="47.25" x14ac:dyDescent="0.25">
      <c r="B134" s="73" t="s">
        <v>499</v>
      </c>
      <c r="C134" s="73" t="s">
        <v>225</v>
      </c>
      <c r="D134" s="73" t="s">
        <v>41</v>
      </c>
      <c r="E134" s="73" t="s">
        <v>27</v>
      </c>
      <c r="F134" s="74" t="s">
        <v>52</v>
      </c>
      <c r="G134" s="76" t="s">
        <v>241</v>
      </c>
      <c r="H134" s="76" t="s">
        <v>310</v>
      </c>
    </row>
  </sheetData>
  <autoFilter ref="C3:J3" xr:uid="{326F9C08-DC08-4C93-8620-4D5EC3498141}"/>
  <phoneticPr fontId="2"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FDBB7-7CE9-4030-BDEE-BB5D297750E9}">
  <dimension ref="A1:U8"/>
  <sheetViews>
    <sheetView zoomScale="55" zoomScaleNormal="55" workbookViewId="0">
      <selection activeCell="H17" sqref="H17"/>
    </sheetView>
  </sheetViews>
  <sheetFormatPr defaultRowHeight="15" x14ac:dyDescent="0.25"/>
  <cols>
    <col min="3" max="3" width="10.28515625" style="21" customWidth="1"/>
    <col min="4" max="4" width="18.28515625" bestFit="1" customWidth="1"/>
    <col min="5" max="5" width="17.7109375" style="62" bestFit="1" customWidth="1"/>
    <col min="9" max="9" width="10.7109375" bestFit="1" customWidth="1"/>
    <col min="10" max="10" width="9.140625" style="50"/>
    <col min="11" max="11" width="10.140625" style="50" bestFit="1" customWidth="1"/>
    <col min="13" max="13" width="12" bestFit="1" customWidth="1"/>
    <col min="14" max="14" width="10" bestFit="1" customWidth="1"/>
    <col min="15" max="15" width="10.7109375" bestFit="1" customWidth="1"/>
    <col min="16" max="16" width="11.140625" bestFit="1" customWidth="1"/>
    <col min="17" max="17" width="16.140625" bestFit="1" customWidth="1"/>
    <col min="18" max="18" width="33.85546875" bestFit="1" customWidth="1"/>
    <col min="19" max="19" width="24.5703125" bestFit="1" customWidth="1"/>
    <col min="20" max="21" width="23.85546875" bestFit="1" customWidth="1"/>
  </cols>
  <sheetData>
    <row r="1" spans="1:21" s="34" customFormat="1" ht="30" x14ac:dyDescent="0.25">
      <c r="A1" s="53" t="s">
        <v>365</v>
      </c>
      <c r="B1" s="53" t="s">
        <v>366</v>
      </c>
      <c r="C1" s="54" t="s">
        <v>388</v>
      </c>
      <c r="D1" s="53" t="s">
        <v>391</v>
      </c>
      <c r="E1" s="60" t="s">
        <v>390</v>
      </c>
      <c r="F1" s="55" t="s">
        <v>367</v>
      </c>
      <c r="G1" s="55" t="s">
        <v>369</v>
      </c>
      <c r="H1" s="55" t="s">
        <v>368</v>
      </c>
      <c r="I1" s="55" t="s">
        <v>381</v>
      </c>
      <c r="J1" s="56" t="s">
        <v>383</v>
      </c>
      <c r="K1" s="56" t="s">
        <v>384</v>
      </c>
      <c r="L1" s="53" t="s">
        <v>370</v>
      </c>
      <c r="M1" s="53" t="s">
        <v>391</v>
      </c>
      <c r="N1" s="57" t="s">
        <v>371</v>
      </c>
      <c r="O1" s="57" t="s">
        <v>372</v>
      </c>
      <c r="P1" s="58" t="s">
        <v>373</v>
      </c>
      <c r="Q1" s="57" t="s">
        <v>13</v>
      </c>
      <c r="R1" s="57" t="s">
        <v>10</v>
      </c>
      <c r="S1" s="57" t="s">
        <v>11</v>
      </c>
      <c r="T1" s="57" t="s">
        <v>12</v>
      </c>
      <c r="U1" s="57" t="s">
        <v>165</v>
      </c>
    </row>
    <row r="2" spans="1:21" ht="16.5" x14ac:dyDescent="0.3">
      <c r="A2" s="40" t="s">
        <v>374</v>
      </c>
      <c r="B2" s="40" t="s">
        <v>192</v>
      </c>
      <c r="C2" s="51" t="s">
        <v>389</v>
      </c>
      <c r="D2" s="40" t="s">
        <v>392</v>
      </c>
      <c r="E2" s="59">
        <v>4000</v>
      </c>
      <c r="F2" s="41">
        <v>45579</v>
      </c>
      <c r="G2" s="41" t="str">
        <f>"Sem "&amp;WEEKNUM(F2,2)</f>
        <v>Sem 42</v>
      </c>
      <c r="H2" s="41" t="str">
        <f>PROPER(TEXT(F2,"mmm"))</f>
        <v>Out</v>
      </c>
      <c r="I2" s="41" t="s">
        <v>382</v>
      </c>
      <c r="J2" s="48">
        <v>2025</v>
      </c>
      <c r="K2" s="48" t="s">
        <v>385</v>
      </c>
      <c r="L2" s="40" t="s">
        <v>375</v>
      </c>
      <c r="M2" s="40" t="s">
        <v>387</v>
      </c>
      <c r="N2" s="42">
        <v>0.32222222222222224</v>
      </c>
      <c r="O2" s="42">
        <v>0.73124999999999996</v>
      </c>
      <c r="P2" s="42">
        <f>O2-N2</f>
        <v>0.40902777777777771</v>
      </c>
      <c r="Q2" s="43" t="s">
        <v>225</v>
      </c>
      <c r="R2" s="43" t="s">
        <v>24</v>
      </c>
      <c r="S2" s="43" t="s">
        <v>16</v>
      </c>
      <c r="T2" s="43" t="s">
        <v>223</v>
      </c>
      <c r="U2" s="43" t="s">
        <v>223</v>
      </c>
    </row>
    <row r="3" spans="1:21" ht="16.5" x14ac:dyDescent="0.3">
      <c r="A3" s="44" t="s">
        <v>374</v>
      </c>
      <c r="B3" s="44" t="s">
        <v>192</v>
      </c>
      <c r="C3" s="52" t="s">
        <v>389</v>
      </c>
      <c r="D3" s="44" t="s">
        <v>392</v>
      </c>
      <c r="E3" s="61">
        <v>4000</v>
      </c>
      <c r="F3" s="45">
        <v>45579</v>
      </c>
      <c r="G3" s="45" t="str">
        <f t="shared" ref="G3:G8" si="0">"Sem "&amp;WEEKNUM(F3,2)</f>
        <v>Sem 42</v>
      </c>
      <c r="H3" s="45" t="str">
        <f t="shared" ref="H3:H8" si="1">PROPER(TEXT(F3,"mmm"))</f>
        <v>Out</v>
      </c>
      <c r="I3" s="45" t="s">
        <v>382</v>
      </c>
      <c r="J3" s="49">
        <v>2025</v>
      </c>
      <c r="K3" s="49" t="s">
        <v>385</v>
      </c>
      <c r="L3" s="44" t="s">
        <v>376</v>
      </c>
      <c r="M3" s="44" t="s">
        <v>387</v>
      </c>
      <c r="N3" s="46">
        <v>0.73958333333333337</v>
      </c>
      <c r="O3" s="46">
        <v>0.74930555555555556</v>
      </c>
      <c r="P3" s="46">
        <f t="shared" ref="P3:P8" si="2">O3-N3</f>
        <v>9.7222222222221877E-3</v>
      </c>
      <c r="Q3" s="47" t="s">
        <v>225</v>
      </c>
      <c r="R3" s="47" t="s">
        <v>41</v>
      </c>
      <c r="S3" s="47" t="s">
        <v>27</v>
      </c>
      <c r="T3" s="47" t="s">
        <v>2</v>
      </c>
      <c r="U3" s="47" t="s">
        <v>185</v>
      </c>
    </row>
    <row r="4" spans="1:21" ht="16.5" x14ac:dyDescent="0.3">
      <c r="A4" s="40" t="s">
        <v>374</v>
      </c>
      <c r="B4" s="40" t="s">
        <v>192</v>
      </c>
      <c r="C4" s="51" t="s">
        <v>389</v>
      </c>
      <c r="D4" s="40" t="s">
        <v>392</v>
      </c>
      <c r="E4" s="59">
        <v>4000</v>
      </c>
      <c r="F4" s="41">
        <v>45579</v>
      </c>
      <c r="G4" s="41" t="str">
        <f t="shared" si="0"/>
        <v>Sem 42</v>
      </c>
      <c r="H4" s="41" t="str">
        <f t="shared" si="1"/>
        <v>Out</v>
      </c>
      <c r="I4" s="41" t="s">
        <v>382</v>
      </c>
      <c r="J4" s="48">
        <v>2025</v>
      </c>
      <c r="K4" s="48" t="s">
        <v>386</v>
      </c>
      <c r="L4" s="40" t="s">
        <v>377</v>
      </c>
      <c r="M4" s="40" t="s">
        <v>387</v>
      </c>
      <c r="N4" s="42">
        <v>0.75624999999999998</v>
      </c>
      <c r="O4" s="42">
        <v>0.79027777777777775</v>
      </c>
      <c r="P4" s="42">
        <f t="shared" si="2"/>
        <v>3.4027777777777768E-2</v>
      </c>
      <c r="Q4" s="43" t="s">
        <v>225</v>
      </c>
      <c r="R4" s="43" t="s">
        <v>41</v>
      </c>
      <c r="S4" s="43" t="s">
        <v>27</v>
      </c>
      <c r="T4" s="43" t="s">
        <v>52</v>
      </c>
      <c r="U4" s="43" t="s">
        <v>227</v>
      </c>
    </row>
    <row r="5" spans="1:21" s="70" customFormat="1" ht="16.5" x14ac:dyDescent="0.3">
      <c r="A5" s="63" t="s">
        <v>374</v>
      </c>
      <c r="B5" s="63" t="s">
        <v>192</v>
      </c>
      <c r="C5" s="64" t="s">
        <v>389</v>
      </c>
      <c r="D5" s="63" t="s">
        <v>392</v>
      </c>
      <c r="E5" s="65">
        <v>4000</v>
      </c>
      <c r="F5" s="66">
        <v>45579</v>
      </c>
      <c r="G5" s="66" t="str">
        <f t="shared" si="0"/>
        <v>Sem 42</v>
      </c>
      <c r="H5" s="66" t="str">
        <f t="shared" si="1"/>
        <v>Out</v>
      </c>
      <c r="I5" s="66" t="s">
        <v>382</v>
      </c>
      <c r="J5" s="67">
        <v>2025</v>
      </c>
      <c r="K5" s="67" t="s">
        <v>386</v>
      </c>
      <c r="L5" s="63" t="s">
        <v>378</v>
      </c>
      <c r="M5" s="63" t="s">
        <v>387</v>
      </c>
      <c r="N5" s="68">
        <v>0.79722222222222228</v>
      </c>
      <c r="O5" s="68">
        <v>0.79861111111111116</v>
      </c>
      <c r="P5" s="68">
        <f t="shared" si="2"/>
        <v>1.388888888888884E-3</v>
      </c>
      <c r="Q5" s="69" t="s">
        <v>225</v>
      </c>
      <c r="R5" s="69" t="s">
        <v>41</v>
      </c>
      <c r="S5" s="69" t="s">
        <v>27</v>
      </c>
      <c r="T5" s="69" t="s">
        <v>52</v>
      </c>
      <c r="U5" s="69" t="s">
        <v>229</v>
      </c>
    </row>
    <row r="6" spans="1:21" ht="16.5" x14ac:dyDescent="0.3">
      <c r="A6" s="40" t="s">
        <v>374</v>
      </c>
      <c r="B6" s="40" t="s">
        <v>192</v>
      </c>
      <c r="C6" s="51" t="s">
        <v>389</v>
      </c>
      <c r="D6" s="40" t="s">
        <v>392</v>
      </c>
      <c r="E6" s="59">
        <v>4000</v>
      </c>
      <c r="F6" s="41">
        <v>45579</v>
      </c>
      <c r="G6" s="41" t="str">
        <f t="shared" si="0"/>
        <v>Sem 42</v>
      </c>
      <c r="H6" s="41" t="str">
        <f t="shared" si="1"/>
        <v>Out</v>
      </c>
      <c r="I6" s="41" t="s">
        <v>382</v>
      </c>
      <c r="J6" s="48">
        <v>2025</v>
      </c>
      <c r="K6" s="48" t="s">
        <v>386</v>
      </c>
      <c r="L6" s="40" t="s">
        <v>379</v>
      </c>
      <c r="M6" s="40" t="s">
        <v>387</v>
      </c>
      <c r="N6" s="42">
        <v>0.87430555555555556</v>
      </c>
      <c r="O6" s="42">
        <v>0.91249999999999998</v>
      </c>
      <c r="P6" s="42">
        <f t="shared" si="2"/>
        <v>3.819444444444442E-2</v>
      </c>
      <c r="Q6" s="43" t="s">
        <v>225</v>
      </c>
      <c r="R6" s="43" t="s">
        <v>360</v>
      </c>
      <c r="S6" s="43" t="s">
        <v>16</v>
      </c>
      <c r="T6" s="43" t="s">
        <v>249</v>
      </c>
      <c r="U6" s="43" t="s">
        <v>249</v>
      </c>
    </row>
    <row r="7" spans="1:21" ht="16.5" x14ac:dyDescent="0.3">
      <c r="A7" s="44" t="s">
        <v>374</v>
      </c>
      <c r="B7" s="44" t="s">
        <v>192</v>
      </c>
      <c r="C7" s="52" t="s">
        <v>389</v>
      </c>
      <c r="D7" s="44" t="s">
        <v>392</v>
      </c>
      <c r="E7" s="61">
        <v>4000</v>
      </c>
      <c r="F7" s="45">
        <v>45579</v>
      </c>
      <c r="G7" s="45" t="str">
        <f t="shared" si="0"/>
        <v>Sem 42</v>
      </c>
      <c r="H7" s="45" t="str">
        <f t="shared" si="1"/>
        <v>Out</v>
      </c>
      <c r="I7" s="45" t="s">
        <v>382</v>
      </c>
      <c r="J7" s="49">
        <v>2025</v>
      </c>
      <c r="K7" s="49" t="s">
        <v>386</v>
      </c>
      <c r="L7" s="44" t="s">
        <v>379</v>
      </c>
      <c r="M7" s="44" t="s">
        <v>387</v>
      </c>
      <c r="N7" s="46">
        <v>0.91249999999999998</v>
      </c>
      <c r="O7" s="46">
        <v>0.9291666666666667</v>
      </c>
      <c r="P7" s="46">
        <f t="shared" si="2"/>
        <v>1.6666666666666718E-2</v>
      </c>
      <c r="Q7" s="47" t="s">
        <v>225</v>
      </c>
      <c r="R7" s="47" t="s">
        <v>360</v>
      </c>
      <c r="S7" s="47" t="s">
        <v>16</v>
      </c>
      <c r="T7" s="47" t="s">
        <v>249</v>
      </c>
      <c r="U7" s="47" t="s">
        <v>249</v>
      </c>
    </row>
    <row r="8" spans="1:21" ht="16.5" x14ac:dyDescent="0.3">
      <c r="A8" s="40" t="s">
        <v>374</v>
      </c>
      <c r="B8" s="40" t="s">
        <v>192</v>
      </c>
      <c r="C8" s="51" t="s">
        <v>389</v>
      </c>
      <c r="D8" s="40" t="s">
        <v>392</v>
      </c>
      <c r="E8" s="59">
        <v>4000</v>
      </c>
      <c r="F8" s="41">
        <v>45579</v>
      </c>
      <c r="G8" s="41" t="str">
        <f t="shared" si="0"/>
        <v>Sem 42</v>
      </c>
      <c r="H8" s="41" t="str">
        <f t="shared" si="1"/>
        <v>Out</v>
      </c>
      <c r="I8" s="41" t="s">
        <v>382</v>
      </c>
      <c r="J8" s="48">
        <v>2025</v>
      </c>
      <c r="K8" s="48" t="s">
        <v>386</v>
      </c>
      <c r="L8" s="40" t="s">
        <v>380</v>
      </c>
      <c r="M8" s="40" t="s">
        <v>387</v>
      </c>
      <c r="N8" s="42">
        <v>0.9291666666666667</v>
      </c>
      <c r="O8" s="42">
        <v>0.9604166666666667</v>
      </c>
      <c r="P8" s="42">
        <f t="shared" si="2"/>
        <v>3.125E-2</v>
      </c>
      <c r="Q8" s="43" t="s">
        <v>225</v>
      </c>
      <c r="R8" s="43" t="s">
        <v>360</v>
      </c>
      <c r="S8" s="43" t="s">
        <v>16</v>
      </c>
      <c r="T8" s="43" t="s">
        <v>26</v>
      </c>
      <c r="U8" s="43" t="s">
        <v>21</v>
      </c>
    </row>
  </sheetData>
  <pageMargins left="0.511811024" right="0.511811024" top="0.78740157499999996" bottom="0.78740157499999996" header="0.31496062000000002" footer="0.31496062000000002"/>
  <pageSetup paperSize="9" orientation="portrait" horizontalDpi="0" verticalDpi="0" r:id="rId1"/>
  <ignoredErrors>
    <ignoredError sqref="C2:C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EC66E-3BDF-4A7C-A6A4-B30DD9E38926}">
  <dimension ref="B3:J33"/>
  <sheetViews>
    <sheetView zoomScale="85" zoomScaleNormal="85" workbookViewId="0">
      <selection activeCell="E13" sqref="E13"/>
    </sheetView>
  </sheetViews>
  <sheetFormatPr defaultRowHeight="15" x14ac:dyDescent="0.25"/>
  <cols>
    <col min="3" max="3" width="33.42578125" bestFit="1" customWidth="1"/>
    <col min="4" max="4" width="24.5703125" bestFit="1" customWidth="1"/>
    <col min="5" max="5" width="31.5703125" bestFit="1" customWidth="1"/>
    <col min="6" max="6" width="53.28515625" customWidth="1"/>
    <col min="10" max="10" width="26.140625" bestFit="1" customWidth="1"/>
  </cols>
  <sheetData>
    <row r="3" spans="2:10" ht="16.5" x14ac:dyDescent="0.3">
      <c r="B3" s="4" t="s">
        <v>36</v>
      </c>
      <c r="C3" s="5"/>
      <c r="D3" s="5"/>
      <c r="E3" s="5"/>
      <c r="F3" s="5"/>
    </row>
    <row r="4" spans="2:10" ht="7.5" customHeight="1" x14ac:dyDescent="0.3">
      <c r="B4" s="2"/>
      <c r="C4" s="2"/>
      <c r="D4" s="2"/>
      <c r="E4" s="2"/>
      <c r="F4" s="2"/>
    </row>
    <row r="5" spans="2:10" ht="16.5" x14ac:dyDescent="0.3">
      <c r="B5" s="6" t="s">
        <v>9</v>
      </c>
      <c r="C5" s="6" t="s">
        <v>10</v>
      </c>
      <c r="D5" s="6" t="s">
        <v>11</v>
      </c>
      <c r="E5" s="6" t="s">
        <v>12</v>
      </c>
      <c r="F5" s="6" t="s">
        <v>13</v>
      </c>
    </row>
    <row r="6" spans="2:10" ht="16.5" x14ac:dyDescent="0.3">
      <c r="B6" s="7"/>
      <c r="C6" s="7" t="s">
        <v>41</v>
      </c>
      <c r="D6" s="7" t="s">
        <v>27</v>
      </c>
      <c r="E6" s="7" t="s">
        <v>52</v>
      </c>
      <c r="F6" s="9" t="s">
        <v>83</v>
      </c>
      <c r="G6" s="14"/>
      <c r="H6" s="26"/>
      <c r="I6" s="17" t="s">
        <v>112</v>
      </c>
      <c r="J6" s="17" t="s">
        <v>134</v>
      </c>
    </row>
    <row r="7" spans="2:10" ht="16.5" x14ac:dyDescent="0.3">
      <c r="B7" s="7"/>
      <c r="C7" s="7" t="s">
        <v>41</v>
      </c>
      <c r="D7" s="7" t="s">
        <v>27</v>
      </c>
      <c r="E7" s="7" t="s">
        <v>52</v>
      </c>
      <c r="F7" s="9" t="s">
        <v>160</v>
      </c>
      <c r="G7" s="14"/>
      <c r="H7" s="26"/>
      <c r="I7" s="19" t="s">
        <v>135</v>
      </c>
      <c r="J7" s="19" t="s">
        <v>33</v>
      </c>
    </row>
    <row r="8" spans="2:10" ht="16.5" x14ac:dyDescent="0.3">
      <c r="B8" s="7"/>
      <c r="C8" s="7" t="s">
        <v>41</v>
      </c>
      <c r="D8" s="7" t="s">
        <v>27</v>
      </c>
      <c r="E8" s="7" t="s">
        <v>52</v>
      </c>
      <c r="F8" s="9" t="s">
        <v>99</v>
      </c>
      <c r="G8" s="14"/>
      <c r="H8" s="26"/>
      <c r="I8" s="19" t="s">
        <v>123</v>
      </c>
      <c r="J8" s="19" t="s">
        <v>14</v>
      </c>
    </row>
    <row r="9" spans="2:10" ht="16.5" x14ac:dyDescent="0.3">
      <c r="B9" s="7"/>
      <c r="C9" s="7" t="s">
        <v>41</v>
      </c>
      <c r="D9" s="7" t="s">
        <v>27</v>
      </c>
      <c r="E9" s="7" t="s">
        <v>52</v>
      </c>
      <c r="F9" s="9" t="s">
        <v>90</v>
      </c>
      <c r="G9" s="14"/>
      <c r="H9" s="26"/>
      <c r="I9" s="20" t="s">
        <v>136</v>
      </c>
      <c r="J9" s="20" t="s">
        <v>154</v>
      </c>
    </row>
    <row r="10" spans="2:10" ht="16.5" x14ac:dyDescent="0.3">
      <c r="B10" s="7"/>
      <c r="C10" s="7" t="s">
        <v>41</v>
      </c>
      <c r="D10" s="7" t="s">
        <v>27</v>
      </c>
      <c r="E10" s="7" t="s">
        <v>52</v>
      </c>
      <c r="F10" s="9" t="s">
        <v>156</v>
      </c>
      <c r="G10" s="14"/>
      <c r="H10" s="26"/>
    </row>
    <row r="11" spans="2:10" ht="16.5" x14ac:dyDescent="0.3">
      <c r="B11" s="7"/>
      <c r="C11" s="7" t="s">
        <v>41</v>
      </c>
      <c r="D11" s="7" t="s">
        <v>27</v>
      </c>
      <c r="E11" s="7" t="s">
        <v>52</v>
      </c>
      <c r="F11" s="9" t="s">
        <v>162</v>
      </c>
      <c r="G11" s="14"/>
      <c r="H11" s="26"/>
    </row>
    <row r="12" spans="2:10" ht="16.5" x14ac:dyDescent="0.3">
      <c r="B12" s="10"/>
      <c r="C12" s="10" t="s">
        <v>41</v>
      </c>
      <c r="D12" s="10" t="s">
        <v>27</v>
      </c>
      <c r="E12" s="10" t="s">
        <v>52</v>
      </c>
      <c r="F12" s="13" t="s">
        <v>155</v>
      </c>
      <c r="G12" s="14"/>
      <c r="H12" s="26"/>
    </row>
    <row r="13" spans="2:10" ht="16.5" x14ac:dyDescent="0.3">
      <c r="B13" s="11"/>
      <c r="C13" s="11" t="s">
        <v>41</v>
      </c>
      <c r="D13" s="11" t="s">
        <v>27</v>
      </c>
      <c r="E13" s="11" t="s">
        <v>52</v>
      </c>
      <c r="F13" s="12" t="s">
        <v>106</v>
      </c>
    </row>
    <row r="14" spans="2:10" ht="16.5" x14ac:dyDescent="0.3">
      <c r="B14" s="7"/>
      <c r="C14" s="7" t="s">
        <v>41</v>
      </c>
      <c r="D14" s="7" t="s">
        <v>27</v>
      </c>
      <c r="E14" s="7" t="s">
        <v>52</v>
      </c>
      <c r="F14" s="9" t="s">
        <v>105</v>
      </c>
    </row>
    <row r="15" spans="2:10" ht="16.5" x14ac:dyDescent="0.3">
      <c r="B15" s="7"/>
      <c r="C15" s="7" t="s">
        <v>41</v>
      </c>
      <c r="D15" s="7" t="s">
        <v>27</v>
      </c>
      <c r="E15" s="7" t="s">
        <v>52</v>
      </c>
      <c r="F15" s="9" t="s">
        <v>101</v>
      </c>
    </row>
    <row r="16" spans="2:10" ht="16.5" x14ac:dyDescent="0.3">
      <c r="B16" s="7"/>
      <c r="C16" s="7" t="s">
        <v>41</v>
      </c>
      <c r="D16" s="7" t="s">
        <v>27</v>
      </c>
      <c r="E16" s="7" t="s">
        <v>52</v>
      </c>
      <c r="F16" s="9" t="s">
        <v>161</v>
      </c>
    </row>
    <row r="17" spans="2:6" ht="16.5" x14ac:dyDescent="0.3">
      <c r="B17" s="7"/>
      <c r="C17" s="7" t="s">
        <v>41</v>
      </c>
      <c r="D17" s="7" t="s">
        <v>27</v>
      </c>
      <c r="E17" s="7" t="s">
        <v>52</v>
      </c>
      <c r="F17" s="9" t="s">
        <v>163</v>
      </c>
    </row>
    <row r="18" spans="2:6" ht="16.5" x14ac:dyDescent="0.3">
      <c r="B18" s="7"/>
      <c r="C18" s="7" t="s">
        <v>41</v>
      </c>
      <c r="D18" s="7" t="s">
        <v>27</v>
      </c>
      <c r="E18" s="7" t="s">
        <v>52</v>
      </c>
      <c r="F18" s="9" t="s">
        <v>157</v>
      </c>
    </row>
    <row r="19" spans="2:6" ht="16.5" x14ac:dyDescent="0.3">
      <c r="B19" s="10"/>
      <c r="C19" s="10" t="s">
        <v>41</v>
      </c>
      <c r="D19" s="10" t="s">
        <v>27</v>
      </c>
      <c r="E19" s="10" t="s">
        <v>52</v>
      </c>
      <c r="F19" s="13" t="s">
        <v>104</v>
      </c>
    </row>
    <row r="20" spans="2:6" ht="16.5" x14ac:dyDescent="0.3">
      <c r="B20" s="11"/>
      <c r="C20" s="11" t="s">
        <v>41</v>
      </c>
      <c r="D20" s="11" t="s">
        <v>27</v>
      </c>
      <c r="E20" s="11" t="s">
        <v>52</v>
      </c>
      <c r="F20" s="24" t="s">
        <v>103</v>
      </c>
    </row>
    <row r="21" spans="2:6" ht="16.5" x14ac:dyDescent="0.3">
      <c r="B21" s="7"/>
      <c r="C21" s="7" t="s">
        <v>41</v>
      </c>
      <c r="D21" s="7" t="s">
        <v>27</v>
      </c>
      <c r="E21" s="7" t="s">
        <v>52</v>
      </c>
      <c r="F21" s="9" t="s">
        <v>158</v>
      </c>
    </row>
    <row r="22" spans="2:6" ht="16.5" x14ac:dyDescent="0.3">
      <c r="B22" s="7"/>
      <c r="C22" s="7" t="s">
        <v>41</v>
      </c>
      <c r="D22" s="7" t="s">
        <v>27</v>
      </c>
      <c r="E22" s="7" t="s">
        <v>52</v>
      </c>
      <c r="F22" s="9" t="s">
        <v>91</v>
      </c>
    </row>
    <row r="23" spans="2:6" ht="16.5" x14ac:dyDescent="0.3">
      <c r="B23" s="10"/>
      <c r="C23" s="10" t="s">
        <v>41</v>
      </c>
      <c r="D23" s="10" t="s">
        <v>27</v>
      </c>
      <c r="E23" s="10" t="s">
        <v>52</v>
      </c>
      <c r="F23" s="13" t="s">
        <v>78</v>
      </c>
    </row>
    <row r="24" spans="2:6" ht="16.5" x14ac:dyDescent="0.3">
      <c r="B24" s="11"/>
      <c r="C24" s="11" t="s">
        <v>41</v>
      </c>
      <c r="D24" s="11" t="s">
        <v>27</v>
      </c>
      <c r="E24" s="11" t="s">
        <v>2</v>
      </c>
      <c r="F24" s="12" t="s">
        <v>53</v>
      </c>
    </row>
    <row r="25" spans="2:6" ht="16.5" x14ac:dyDescent="0.3">
      <c r="B25" s="7"/>
      <c r="C25" s="7" t="s">
        <v>41</v>
      </c>
      <c r="D25" s="7" t="s">
        <v>27</v>
      </c>
      <c r="E25" s="7" t="s">
        <v>2</v>
      </c>
      <c r="F25" s="9" t="s">
        <v>61</v>
      </c>
    </row>
    <row r="26" spans="2:6" ht="16.5" x14ac:dyDescent="0.3">
      <c r="B26" s="7"/>
      <c r="C26" s="7" t="s">
        <v>41</v>
      </c>
      <c r="D26" s="7" t="s">
        <v>27</v>
      </c>
      <c r="E26" s="7" t="s">
        <v>2</v>
      </c>
      <c r="F26" s="9" t="s">
        <v>57</v>
      </c>
    </row>
    <row r="27" spans="2:6" ht="16.5" x14ac:dyDescent="0.3">
      <c r="B27" s="7"/>
      <c r="C27" s="7" t="s">
        <v>41</v>
      </c>
      <c r="D27" s="7" t="s">
        <v>27</v>
      </c>
      <c r="E27" s="7" t="s">
        <v>2</v>
      </c>
      <c r="F27" s="9" t="s">
        <v>109</v>
      </c>
    </row>
    <row r="28" spans="2:6" ht="16.5" x14ac:dyDescent="0.3">
      <c r="B28" s="7"/>
      <c r="C28" s="7" t="s">
        <v>41</v>
      </c>
      <c r="D28" s="7" t="s">
        <v>27</v>
      </c>
      <c r="E28" s="7" t="s">
        <v>2</v>
      </c>
      <c r="F28" s="9" t="s">
        <v>54</v>
      </c>
    </row>
    <row r="29" spans="2:6" ht="16.5" x14ac:dyDescent="0.3">
      <c r="B29" s="7"/>
      <c r="C29" s="7" t="s">
        <v>41</v>
      </c>
      <c r="D29" s="7" t="s">
        <v>27</v>
      </c>
      <c r="E29" s="7" t="s">
        <v>2</v>
      </c>
      <c r="F29" s="9" t="s">
        <v>159</v>
      </c>
    </row>
    <row r="30" spans="2:6" ht="16.5" x14ac:dyDescent="0.3">
      <c r="B30" s="7"/>
      <c r="C30" s="7" t="s">
        <v>41</v>
      </c>
      <c r="D30" s="7" t="s">
        <v>27</v>
      </c>
      <c r="E30" s="7" t="s">
        <v>2</v>
      </c>
      <c r="F30" s="9" t="s">
        <v>68</v>
      </c>
    </row>
    <row r="31" spans="2:6" ht="16.5" x14ac:dyDescent="0.3">
      <c r="B31" s="10"/>
      <c r="C31" s="10" t="s">
        <v>41</v>
      </c>
      <c r="D31" s="10" t="s">
        <v>27</v>
      </c>
      <c r="E31" s="10" t="s">
        <v>2</v>
      </c>
      <c r="F31" s="13" t="s">
        <v>67</v>
      </c>
    </row>
    <row r="33" spans="2:2" x14ac:dyDescent="0.25">
      <c r="B33" t="s">
        <v>164</v>
      </c>
    </row>
  </sheetData>
  <pageMargins left="0.511811024" right="0.511811024" top="0.78740157499999996" bottom="0.78740157499999996" header="0.31496062000000002" footer="0.31496062000000002"/>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1BA2A-8D04-4782-94B2-D6B23D01F3E1}">
  <dimension ref="B3:I43"/>
  <sheetViews>
    <sheetView topLeftCell="B34" zoomScale="85" zoomScaleNormal="85" workbookViewId="0">
      <selection activeCell="E13" sqref="E13"/>
    </sheetView>
  </sheetViews>
  <sheetFormatPr defaultRowHeight="15" x14ac:dyDescent="0.25"/>
  <cols>
    <col min="3" max="3" width="33.42578125" bestFit="1" customWidth="1"/>
    <col min="4" max="4" width="24.5703125" bestFit="1" customWidth="1"/>
    <col min="5" max="5" width="31.5703125" bestFit="1" customWidth="1"/>
    <col min="6" max="6" width="53.28515625" customWidth="1"/>
    <col min="9" max="9" width="36.140625" bestFit="1" customWidth="1"/>
  </cols>
  <sheetData>
    <row r="3" spans="2:9" ht="16.5" x14ac:dyDescent="0.3">
      <c r="B3" s="4" t="s">
        <v>35</v>
      </c>
      <c r="C3" s="5"/>
      <c r="D3" s="5"/>
      <c r="E3" s="5"/>
      <c r="F3" s="5"/>
    </row>
    <row r="4" spans="2:9" ht="7.5" customHeight="1" x14ac:dyDescent="0.3">
      <c r="B4" s="2"/>
      <c r="C4" s="2"/>
      <c r="D4" s="2"/>
      <c r="E4" s="2"/>
      <c r="F4" s="2"/>
    </row>
    <row r="5" spans="2:9" ht="16.5" x14ac:dyDescent="0.3">
      <c r="B5" s="6" t="s">
        <v>9</v>
      </c>
      <c r="C5" s="6" t="s">
        <v>10</v>
      </c>
      <c r="D5" s="6" t="s">
        <v>11</v>
      </c>
      <c r="E5" s="6" t="s">
        <v>12</v>
      </c>
      <c r="F5" s="6" t="s">
        <v>13</v>
      </c>
      <c r="H5" s="17" t="s">
        <v>112</v>
      </c>
      <c r="I5" s="17" t="s">
        <v>134</v>
      </c>
    </row>
    <row r="6" spans="2:9" ht="16.5" x14ac:dyDescent="0.3">
      <c r="B6" s="11"/>
      <c r="C6" s="11" t="s">
        <v>41</v>
      </c>
      <c r="D6" s="11" t="s">
        <v>27</v>
      </c>
      <c r="E6" s="11" t="s">
        <v>52</v>
      </c>
      <c r="F6" s="12" t="s">
        <v>79</v>
      </c>
      <c r="H6" s="19" t="s">
        <v>135</v>
      </c>
      <c r="I6" s="19" t="s">
        <v>150</v>
      </c>
    </row>
    <row r="7" spans="2:9" ht="16.5" x14ac:dyDescent="0.3">
      <c r="B7" s="7"/>
      <c r="C7" s="7" t="s">
        <v>41</v>
      </c>
      <c r="D7" s="7" t="s">
        <v>27</v>
      </c>
      <c r="E7" s="7" t="s">
        <v>52</v>
      </c>
      <c r="F7" s="8" t="s">
        <v>102</v>
      </c>
      <c r="H7" s="19" t="s">
        <v>123</v>
      </c>
      <c r="I7" s="19" t="s">
        <v>33</v>
      </c>
    </row>
    <row r="8" spans="2:9" ht="16.5" x14ac:dyDescent="0.3">
      <c r="B8" s="7"/>
      <c r="C8" s="7" t="s">
        <v>41</v>
      </c>
      <c r="D8" s="7" t="s">
        <v>27</v>
      </c>
      <c r="E8" s="7" t="s">
        <v>52</v>
      </c>
      <c r="F8" s="9" t="s">
        <v>100</v>
      </c>
      <c r="H8" s="19" t="s">
        <v>136</v>
      </c>
      <c r="I8" s="19" t="s">
        <v>152</v>
      </c>
    </row>
    <row r="9" spans="2:9" ht="16.5" x14ac:dyDescent="0.3">
      <c r="B9" s="7"/>
      <c r="C9" s="7" t="s">
        <v>41</v>
      </c>
      <c r="D9" s="7" t="s">
        <v>27</v>
      </c>
      <c r="E9" s="7" t="s">
        <v>52</v>
      </c>
      <c r="F9" s="9" t="s">
        <v>99</v>
      </c>
      <c r="H9" s="19" t="s">
        <v>113</v>
      </c>
      <c r="I9" s="19" t="s">
        <v>151</v>
      </c>
    </row>
    <row r="10" spans="2:9" ht="16.5" x14ac:dyDescent="0.3">
      <c r="B10" s="7"/>
      <c r="C10" s="7" t="s">
        <v>41</v>
      </c>
      <c r="D10" s="7" t="s">
        <v>27</v>
      </c>
      <c r="E10" s="7" t="s">
        <v>52</v>
      </c>
      <c r="F10" s="9" t="s">
        <v>80</v>
      </c>
      <c r="H10" s="19" t="s">
        <v>137</v>
      </c>
      <c r="I10" s="19" t="s">
        <v>153</v>
      </c>
    </row>
    <row r="11" spans="2:9" ht="16.5" x14ac:dyDescent="0.3">
      <c r="B11" s="7"/>
      <c r="C11" s="7" t="s">
        <v>41</v>
      </c>
      <c r="D11" s="7" t="s">
        <v>27</v>
      </c>
      <c r="E11" s="7" t="s">
        <v>52</v>
      </c>
      <c r="F11" s="9" t="s">
        <v>81</v>
      </c>
      <c r="H11" s="20" t="s">
        <v>138</v>
      </c>
      <c r="I11" s="20" t="s">
        <v>154</v>
      </c>
    </row>
    <row r="12" spans="2:9" ht="16.5" x14ac:dyDescent="0.3">
      <c r="B12" s="7"/>
      <c r="C12" s="7" t="s">
        <v>41</v>
      </c>
      <c r="D12" s="7" t="s">
        <v>27</v>
      </c>
      <c r="E12" s="7" t="s">
        <v>52</v>
      </c>
      <c r="F12" s="9" t="s">
        <v>82</v>
      </c>
    </row>
    <row r="13" spans="2:9" ht="16.5" x14ac:dyDescent="0.3">
      <c r="B13" s="7"/>
      <c r="C13" s="7" t="s">
        <v>41</v>
      </c>
      <c r="D13" s="7" t="s">
        <v>27</v>
      </c>
      <c r="E13" s="7" t="s">
        <v>52</v>
      </c>
      <c r="F13" s="9" t="s">
        <v>83</v>
      </c>
    </row>
    <row r="14" spans="2:9" ht="16.5" x14ac:dyDescent="0.3">
      <c r="B14" s="7"/>
      <c r="C14" s="7" t="s">
        <v>41</v>
      </c>
      <c r="D14" s="7" t="s">
        <v>27</v>
      </c>
      <c r="E14" s="7" t="s">
        <v>52</v>
      </c>
      <c r="F14" s="9" t="s">
        <v>84</v>
      </c>
    </row>
    <row r="15" spans="2:9" ht="16.5" x14ac:dyDescent="0.3">
      <c r="B15" s="7"/>
      <c r="C15" s="7" t="s">
        <v>41</v>
      </c>
      <c r="D15" s="7" t="s">
        <v>27</v>
      </c>
      <c r="E15" s="7" t="s">
        <v>52</v>
      </c>
      <c r="F15" s="9" t="s">
        <v>106</v>
      </c>
    </row>
    <row r="16" spans="2:9" ht="16.5" x14ac:dyDescent="0.3">
      <c r="B16" s="7"/>
      <c r="C16" s="7" t="s">
        <v>41</v>
      </c>
      <c r="D16" s="7" t="s">
        <v>27</v>
      </c>
      <c r="E16" s="7" t="s">
        <v>52</v>
      </c>
      <c r="F16" s="9" t="s">
        <v>107</v>
      </c>
    </row>
    <row r="17" spans="2:6" ht="16.5" x14ac:dyDescent="0.3">
      <c r="B17" s="7"/>
      <c r="C17" s="7" t="s">
        <v>41</v>
      </c>
      <c r="D17" s="7" t="s">
        <v>27</v>
      </c>
      <c r="E17" s="7" t="s">
        <v>52</v>
      </c>
      <c r="F17" s="9" t="s">
        <v>108</v>
      </c>
    </row>
    <row r="18" spans="2:6" ht="16.5" x14ac:dyDescent="0.3">
      <c r="B18" s="7"/>
      <c r="C18" s="7" t="s">
        <v>41</v>
      </c>
      <c r="D18" s="7" t="s">
        <v>27</v>
      </c>
      <c r="E18" s="7" t="s">
        <v>52</v>
      </c>
      <c r="F18" s="9" t="s">
        <v>85</v>
      </c>
    </row>
    <row r="19" spans="2:6" ht="16.5" x14ac:dyDescent="0.3">
      <c r="B19" s="7"/>
      <c r="C19" s="7" t="s">
        <v>41</v>
      </c>
      <c r="D19" s="7" t="s">
        <v>27</v>
      </c>
      <c r="E19" s="7" t="s">
        <v>52</v>
      </c>
      <c r="F19" s="9" t="s">
        <v>87</v>
      </c>
    </row>
    <row r="20" spans="2:6" ht="16.5" x14ac:dyDescent="0.3">
      <c r="B20" s="7"/>
      <c r="C20" s="7" t="s">
        <v>41</v>
      </c>
      <c r="D20" s="7" t="s">
        <v>27</v>
      </c>
      <c r="E20" s="7" t="s">
        <v>52</v>
      </c>
      <c r="F20" s="9" t="s">
        <v>86</v>
      </c>
    </row>
    <row r="21" spans="2:6" ht="16.5" x14ac:dyDescent="0.3">
      <c r="B21" s="7"/>
      <c r="C21" s="7" t="s">
        <v>41</v>
      </c>
      <c r="D21" s="7" t="s">
        <v>27</v>
      </c>
      <c r="E21" s="7" t="s">
        <v>52</v>
      </c>
      <c r="F21" s="9" t="s">
        <v>111</v>
      </c>
    </row>
    <row r="22" spans="2:6" ht="16.5" x14ac:dyDescent="0.3">
      <c r="B22" s="7"/>
      <c r="C22" s="7" t="s">
        <v>41</v>
      </c>
      <c r="D22" s="7" t="s">
        <v>27</v>
      </c>
      <c r="E22" s="7" t="s">
        <v>52</v>
      </c>
      <c r="F22" s="9" t="s">
        <v>88</v>
      </c>
    </row>
    <row r="23" spans="2:6" ht="16.5" x14ac:dyDescent="0.3">
      <c r="B23" s="7"/>
      <c r="C23" s="7" t="s">
        <v>41</v>
      </c>
      <c r="D23" s="7" t="s">
        <v>27</v>
      </c>
      <c r="E23" s="7" t="s">
        <v>52</v>
      </c>
      <c r="F23" s="9" t="s">
        <v>91</v>
      </c>
    </row>
    <row r="24" spans="2:6" ht="16.5" x14ac:dyDescent="0.3">
      <c r="B24" s="7"/>
      <c r="C24" s="7" t="s">
        <v>41</v>
      </c>
      <c r="D24" s="7" t="s">
        <v>27</v>
      </c>
      <c r="E24" s="7" t="s">
        <v>52</v>
      </c>
      <c r="F24" s="9" t="s">
        <v>89</v>
      </c>
    </row>
    <row r="25" spans="2:6" ht="16.5" x14ac:dyDescent="0.3">
      <c r="B25" s="7"/>
      <c r="C25" s="7" t="s">
        <v>41</v>
      </c>
      <c r="D25" s="7" t="s">
        <v>27</v>
      </c>
      <c r="E25" s="7" t="s">
        <v>52</v>
      </c>
      <c r="F25" s="9" t="s">
        <v>90</v>
      </c>
    </row>
    <row r="26" spans="2:6" ht="16.5" x14ac:dyDescent="0.3">
      <c r="B26" s="10"/>
      <c r="C26" s="10" t="s">
        <v>41</v>
      </c>
      <c r="D26" s="10" t="s">
        <v>27</v>
      </c>
      <c r="E26" s="10" t="s">
        <v>52</v>
      </c>
      <c r="F26" s="13" t="s">
        <v>78</v>
      </c>
    </row>
    <row r="27" spans="2:6" ht="16.5" x14ac:dyDescent="0.3">
      <c r="B27" s="11"/>
      <c r="C27" s="11" t="s">
        <v>41</v>
      </c>
      <c r="D27" s="11" t="s">
        <v>27</v>
      </c>
      <c r="E27" s="11" t="s">
        <v>2</v>
      </c>
      <c r="F27" s="12" t="s">
        <v>53</v>
      </c>
    </row>
    <row r="28" spans="2:6" ht="16.5" x14ac:dyDescent="0.3">
      <c r="B28" s="7"/>
      <c r="C28" s="7" t="s">
        <v>41</v>
      </c>
      <c r="D28" s="7" t="s">
        <v>27</v>
      </c>
      <c r="E28" s="7" t="s">
        <v>2</v>
      </c>
      <c r="F28" s="9" t="s">
        <v>59</v>
      </c>
    </row>
    <row r="29" spans="2:6" ht="16.5" x14ac:dyDescent="0.3">
      <c r="B29" s="7"/>
      <c r="C29" s="7" t="s">
        <v>41</v>
      </c>
      <c r="D29" s="7" t="s">
        <v>27</v>
      </c>
      <c r="E29" s="7" t="s">
        <v>2</v>
      </c>
      <c r="F29" s="9" t="s">
        <v>57</v>
      </c>
    </row>
    <row r="30" spans="2:6" ht="16.5" x14ac:dyDescent="0.3">
      <c r="B30" s="7"/>
      <c r="C30" s="7" t="s">
        <v>41</v>
      </c>
      <c r="D30" s="7" t="s">
        <v>27</v>
      </c>
      <c r="E30" s="7" t="s">
        <v>2</v>
      </c>
      <c r="F30" s="9" t="s">
        <v>109</v>
      </c>
    </row>
    <row r="31" spans="2:6" ht="16.5" x14ac:dyDescent="0.3">
      <c r="B31" s="7"/>
      <c r="C31" s="7" t="s">
        <v>41</v>
      </c>
      <c r="D31" s="7" t="s">
        <v>27</v>
      </c>
      <c r="E31" s="7" t="s">
        <v>2</v>
      </c>
      <c r="F31" s="9" t="s">
        <v>66</v>
      </c>
    </row>
    <row r="32" spans="2:6" ht="16.5" x14ac:dyDescent="0.3">
      <c r="B32" s="7"/>
      <c r="C32" s="7" t="s">
        <v>41</v>
      </c>
      <c r="D32" s="7" t="s">
        <v>27</v>
      </c>
      <c r="E32" s="7" t="s">
        <v>2</v>
      </c>
      <c r="F32" s="9" t="s">
        <v>54</v>
      </c>
    </row>
    <row r="33" spans="2:6" ht="16.5" x14ac:dyDescent="0.3">
      <c r="B33" s="7"/>
      <c r="C33" s="7" t="s">
        <v>41</v>
      </c>
      <c r="D33" s="7" t="s">
        <v>27</v>
      </c>
      <c r="E33" s="7" t="s">
        <v>2</v>
      </c>
      <c r="F33" s="9" t="s">
        <v>60</v>
      </c>
    </row>
    <row r="34" spans="2:6" ht="16.5" x14ac:dyDescent="0.3">
      <c r="B34" s="7"/>
      <c r="C34" s="7" t="s">
        <v>41</v>
      </c>
      <c r="D34" s="7" t="s">
        <v>27</v>
      </c>
      <c r="E34" s="7" t="s">
        <v>2</v>
      </c>
      <c r="F34" s="9" t="s">
        <v>55</v>
      </c>
    </row>
    <row r="35" spans="2:6" ht="16.5" x14ac:dyDescent="0.3">
      <c r="B35" s="7"/>
      <c r="C35" s="7" t="s">
        <v>41</v>
      </c>
      <c r="D35" s="7" t="s">
        <v>27</v>
      </c>
      <c r="E35" s="7" t="s">
        <v>2</v>
      </c>
      <c r="F35" s="9" t="s">
        <v>61</v>
      </c>
    </row>
    <row r="36" spans="2:6" ht="16.5" x14ac:dyDescent="0.3">
      <c r="B36" s="7"/>
      <c r="C36" s="7" t="s">
        <v>41</v>
      </c>
      <c r="D36" s="7" t="s">
        <v>27</v>
      </c>
      <c r="E36" s="7" t="s">
        <v>2</v>
      </c>
      <c r="F36" s="9" t="s">
        <v>56</v>
      </c>
    </row>
    <row r="37" spans="2:6" ht="16.5" x14ac:dyDescent="0.3">
      <c r="B37" s="7"/>
      <c r="C37" s="7" t="s">
        <v>41</v>
      </c>
      <c r="D37" s="7" t="s">
        <v>27</v>
      </c>
      <c r="E37" s="7" t="s">
        <v>2</v>
      </c>
      <c r="F37" s="9" t="s">
        <v>64</v>
      </c>
    </row>
    <row r="38" spans="2:6" ht="16.5" x14ac:dyDescent="0.3">
      <c r="B38" s="7"/>
      <c r="C38" s="7" t="s">
        <v>41</v>
      </c>
      <c r="D38" s="7" t="s">
        <v>27</v>
      </c>
      <c r="E38" s="7" t="s">
        <v>2</v>
      </c>
      <c r="F38" s="9" t="s">
        <v>63</v>
      </c>
    </row>
    <row r="39" spans="2:6" ht="16.5" x14ac:dyDescent="0.3">
      <c r="B39" s="7"/>
      <c r="C39" s="7" t="s">
        <v>41</v>
      </c>
      <c r="D39" s="7" t="s">
        <v>27</v>
      </c>
      <c r="E39" s="7" t="s">
        <v>2</v>
      </c>
      <c r="F39" s="9" t="s">
        <v>68</v>
      </c>
    </row>
    <row r="40" spans="2:6" ht="16.5" x14ac:dyDescent="0.3">
      <c r="B40" s="7"/>
      <c r="C40" s="7" t="s">
        <v>41</v>
      </c>
      <c r="D40" s="7" t="s">
        <v>27</v>
      </c>
      <c r="E40" s="7" t="s">
        <v>2</v>
      </c>
      <c r="F40" s="9" t="s">
        <v>62</v>
      </c>
    </row>
    <row r="41" spans="2:6" ht="16.5" x14ac:dyDescent="0.3">
      <c r="B41" s="7"/>
      <c r="C41" s="7" t="s">
        <v>41</v>
      </c>
      <c r="D41" s="7" t="s">
        <v>27</v>
      </c>
      <c r="E41" s="7" t="s">
        <v>2</v>
      </c>
      <c r="F41" s="9" t="s">
        <v>67</v>
      </c>
    </row>
    <row r="42" spans="2:6" ht="16.5" x14ac:dyDescent="0.3">
      <c r="B42" s="7"/>
      <c r="C42" s="7" t="s">
        <v>41</v>
      </c>
      <c r="D42" s="7" t="s">
        <v>27</v>
      </c>
      <c r="E42" s="7" t="s">
        <v>2</v>
      </c>
      <c r="F42" s="9" t="s">
        <v>58</v>
      </c>
    </row>
    <row r="43" spans="2:6" ht="16.5" x14ac:dyDescent="0.3">
      <c r="B43" s="10"/>
      <c r="C43" s="10" t="s">
        <v>41</v>
      </c>
      <c r="D43" s="10" t="s">
        <v>27</v>
      </c>
      <c r="E43" s="10" t="s">
        <v>2</v>
      </c>
      <c r="F43" s="13" t="s">
        <v>65</v>
      </c>
    </row>
  </sheetData>
  <sortState xmlns:xlrd2="http://schemas.microsoft.com/office/spreadsheetml/2017/richdata2" ref="F28:F43">
    <sortCondition ref="F28:F43"/>
  </sortState>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C0222-7DF2-4DBE-95BE-D07A2FFDD0F6}">
  <dimension ref="B3:K34"/>
  <sheetViews>
    <sheetView zoomScale="80" zoomScaleNormal="80" workbookViewId="0">
      <selection activeCell="E13" sqref="E13"/>
    </sheetView>
  </sheetViews>
  <sheetFormatPr defaultRowHeight="15" x14ac:dyDescent="0.25"/>
  <cols>
    <col min="3" max="3" width="33.42578125" bestFit="1" customWidth="1"/>
    <col min="4" max="4" width="24.5703125" bestFit="1" customWidth="1"/>
    <col min="5" max="5" width="12.28515625" customWidth="1"/>
    <col min="6" max="6" width="36.42578125" customWidth="1"/>
    <col min="7" max="7" width="22.7109375" style="21" hidden="1" customWidth="1"/>
    <col min="8" max="8" width="0" style="23" hidden="1" customWidth="1"/>
    <col min="9" max="9" width="11.42578125" customWidth="1"/>
    <col min="11" max="11" width="37" bestFit="1" customWidth="1"/>
  </cols>
  <sheetData>
    <row r="3" spans="2:11" ht="16.5" x14ac:dyDescent="0.3">
      <c r="B3" s="4" t="s">
        <v>34</v>
      </c>
      <c r="C3" s="5"/>
      <c r="D3" s="5"/>
      <c r="E3" s="5"/>
      <c r="F3" s="5"/>
      <c r="G3" s="15"/>
    </row>
    <row r="4" spans="2:11" ht="7.5" customHeight="1" x14ac:dyDescent="0.3">
      <c r="B4" s="2"/>
      <c r="C4" s="2"/>
      <c r="D4" s="2"/>
      <c r="E4" s="2"/>
      <c r="F4" s="2"/>
      <c r="G4" s="16"/>
    </row>
    <row r="5" spans="2:11" ht="16.5" x14ac:dyDescent="0.3">
      <c r="B5" s="6" t="s">
        <v>9</v>
      </c>
      <c r="C5" s="6" t="s">
        <v>10</v>
      </c>
      <c r="D5" s="6" t="s">
        <v>11</v>
      </c>
      <c r="E5" s="6" t="s">
        <v>12</v>
      </c>
      <c r="F5" s="6" t="s">
        <v>13</v>
      </c>
      <c r="G5" s="17" t="s">
        <v>112</v>
      </c>
      <c r="J5" s="17" t="s">
        <v>112</v>
      </c>
      <c r="K5" s="17" t="s">
        <v>134</v>
      </c>
    </row>
    <row r="6" spans="2:11" ht="16.5" x14ac:dyDescent="0.3">
      <c r="B6" s="7"/>
      <c r="C6" s="7" t="s">
        <v>41</v>
      </c>
      <c r="D6" s="7" t="s">
        <v>27</v>
      </c>
      <c r="E6" s="7" t="s">
        <v>52</v>
      </c>
      <c r="F6" s="8" t="s">
        <v>91</v>
      </c>
      <c r="G6" s="19" t="s">
        <v>114</v>
      </c>
      <c r="J6" s="19" t="s">
        <v>135</v>
      </c>
      <c r="K6" s="19" t="s">
        <v>142</v>
      </c>
    </row>
    <row r="7" spans="2:11" ht="16.5" x14ac:dyDescent="0.3">
      <c r="B7" s="7"/>
      <c r="C7" s="7" t="s">
        <v>41</v>
      </c>
      <c r="D7" s="7" t="s">
        <v>27</v>
      </c>
      <c r="E7" s="7" t="s">
        <v>52</v>
      </c>
      <c r="F7" s="9" t="s">
        <v>78</v>
      </c>
      <c r="G7" s="19" t="s">
        <v>114</v>
      </c>
      <c r="J7" s="19" t="s">
        <v>123</v>
      </c>
      <c r="K7" s="19" t="s">
        <v>143</v>
      </c>
    </row>
    <row r="8" spans="2:11" ht="16.5" x14ac:dyDescent="0.3">
      <c r="B8" s="7"/>
      <c r="C8" s="7" t="s">
        <v>41</v>
      </c>
      <c r="D8" s="7" t="s">
        <v>27</v>
      </c>
      <c r="E8" s="7" t="s">
        <v>52</v>
      </c>
      <c r="F8" s="9" t="s">
        <v>115</v>
      </c>
      <c r="G8" s="19" t="s">
        <v>116</v>
      </c>
      <c r="H8" s="22" t="s">
        <v>126</v>
      </c>
      <c r="J8" s="19" t="s">
        <v>136</v>
      </c>
      <c r="K8" s="19" t="s">
        <v>144</v>
      </c>
    </row>
    <row r="9" spans="2:11" ht="16.5" x14ac:dyDescent="0.3">
      <c r="B9" s="7"/>
      <c r="C9" s="7" t="s">
        <v>41</v>
      </c>
      <c r="D9" s="7" t="s">
        <v>27</v>
      </c>
      <c r="E9" s="7" t="s">
        <v>52</v>
      </c>
      <c r="F9" s="9" t="s">
        <v>117</v>
      </c>
      <c r="G9" s="19" t="s">
        <v>118</v>
      </c>
      <c r="H9" s="14" t="s">
        <v>132</v>
      </c>
      <c r="J9" s="19" t="s">
        <v>113</v>
      </c>
      <c r="K9" s="19" t="s">
        <v>149</v>
      </c>
    </row>
    <row r="10" spans="2:11" ht="16.5" x14ac:dyDescent="0.3">
      <c r="B10" s="7"/>
      <c r="C10" s="7" t="s">
        <v>41</v>
      </c>
      <c r="D10" s="7" t="s">
        <v>27</v>
      </c>
      <c r="E10" s="7" t="s">
        <v>52</v>
      </c>
      <c r="F10" s="9" t="s">
        <v>92</v>
      </c>
      <c r="G10" s="19" t="s">
        <v>114</v>
      </c>
      <c r="J10" s="19" t="s">
        <v>137</v>
      </c>
      <c r="K10" s="19" t="s">
        <v>145</v>
      </c>
    </row>
    <row r="11" spans="2:11" ht="16.5" x14ac:dyDescent="0.3">
      <c r="B11" s="7"/>
      <c r="C11" s="7" t="s">
        <v>41</v>
      </c>
      <c r="D11" s="7" t="s">
        <v>27</v>
      </c>
      <c r="E11" s="7" t="s">
        <v>52</v>
      </c>
      <c r="F11" s="9" t="s">
        <v>93</v>
      </c>
      <c r="G11" s="19" t="s">
        <v>114</v>
      </c>
      <c r="J11" s="19" t="s">
        <v>138</v>
      </c>
      <c r="K11" s="19" t="s">
        <v>133</v>
      </c>
    </row>
    <row r="12" spans="2:11" ht="16.5" x14ac:dyDescent="0.3">
      <c r="B12" s="7"/>
      <c r="C12" s="7" t="s">
        <v>41</v>
      </c>
      <c r="D12" s="7" t="s">
        <v>27</v>
      </c>
      <c r="E12" s="7" t="s">
        <v>52</v>
      </c>
      <c r="F12" s="9" t="s">
        <v>90</v>
      </c>
      <c r="G12" s="19"/>
      <c r="J12" s="19" t="s">
        <v>139</v>
      </c>
      <c r="K12" s="19" t="s">
        <v>146</v>
      </c>
    </row>
    <row r="13" spans="2:11" ht="16.5" x14ac:dyDescent="0.3">
      <c r="B13" s="7"/>
      <c r="C13" s="7" t="s">
        <v>41</v>
      </c>
      <c r="D13" s="7" t="s">
        <v>27</v>
      </c>
      <c r="E13" s="7" t="s">
        <v>52</v>
      </c>
      <c r="F13" s="9" t="s">
        <v>94</v>
      </c>
      <c r="G13" s="19" t="s">
        <v>116</v>
      </c>
      <c r="H13" s="22" t="s">
        <v>126</v>
      </c>
      <c r="J13" s="19" t="s">
        <v>140</v>
      </c>
      <c r="K13" s="19" t="s">
        <v>147</v>
      </c>
    </row>
    <row r="14" spans="2:11" ht="16.5" x14ac:dyDescent="0.3">
      <c r="B14" s="7"/>
      <c r="C14" s="7" t="s">
        <v>41</v>
      </c>
      <c r="D14" s="7" t="s">
        <v>27</v>
      </c>
      <c r="E14" s="7" t="s">
        <v>52</v>
      </c>
      <c r="F14" s="9" t="s">
        <v>95</v>
      </c>
      <c r="G14" s="19" t="s">
        <v>114</v>
      </c>
      <c r="J14" s="20" t="s">
        <v>141</v>
      </c>
      <c r="K14" s="20" t="s">
        <v>148</v>
      </c>
    </row>
    <row r="15" spans="2:11" ht="16.5" x14ac:dyDescent="0.3">
      <c r="B15" s="7"/>
      <c r="C15" s="7" t="s">
        <v>41</v>
      </c>
      <c r="D15" s="7" t="s">
        <v>27</v>
      </c>
      <c r="E15" s="7" t="s">
        <v>52</v>
      </c>
      <c r="F15" s="9" t="s">
        <v>96</v>
      </c>
      <c r="G15" s="19" t="s">
        <v>116</v>
      </c>
      <c r="H15" s="22" t="s">
        <v>126</v>
      </c>
    </row>
    <row r="16" spans="2:11" ht="16.5" x14ac:dyDescent="0.3">
      <c r="B16" s="7"/>
      <c r="C16" s="7" t="s">
        <v>41</v>
      </c>
      <c r="D16" s="7" t="s">
        <v>27</v>
      </c>
      <c r="E16" s="7" t="s">
        <v>52</v>
      </c>
      <c r="F16" s="9" t="s">
        <v>97</v>
      </c>
      <c r="G16" s="19" t="s">
        <v>118</v>
      </c>
      <c r="H16" s="14" t="s">
        <v>132</v>
      </c>
    </row>
    <row r="17" spans="2:8" ht="16.5" x14ac:dyDescent="0.3">
      <c r="B17" s="7"/>
      <c r="C17" s="7" t="s">
        <v>41</v>
      </c>
      <c r="D17" s="7" t="s">
        <v>27</v>
      </c>
      <c r="E17" s="7" t="s">
        <v>52</v>
      </c>
      <c r="F17" s="9" t="s">
        <v>98</v>
      </c>
      <c r="G17" s="19" t="s">
        <v>114</v>
      </c>
    </row>
    <row r="18" spans="2:8" ht="16.5" x14ac:dyDescent="0.3">
      <c r="B18" s="10"/>
      <c r="C18" s="10" t="s">
        <v>41</v>
      </c>
      <c r="D18" s="10" t="s">
        <v>27</v>
      </c>
      <c r="E18" s="10" t="s">
        <v>52</v>
      </c>
      <c r="F18" s="13" t="s">
        <v>119</v>
      </c>
      <c r="G18" s="20" t="s">
        <v>113</v>
      </c>
      <c r="H18" s="14" t="s">
        <v>133</v>
      </c>
    </row>
    <row r="19" spans="2:8" ht="16.5" x14ac:dyDescent="0.3">
      <c r="B19" s="11"/>
      <c r="C19" s="11" t="s">
        <v>41</v>
      </c>
      <c r="D19" s="11" t="s">
        <v>27</v>
      </c>
      <c r="E19" s="11" t="s">
        <v>2</v>
      </c>
      <c r="F19" s="12" t="s">
        <v>53</v>
      </c>
      <c r="G19" s="18"/>
      <c r="H19" s="14"/>
    </row>
    <row r="20" spans="2:8" ht="16.5" x14ac:dyDescent="0.3">
      <c r="B20" s="7"/>
      <c r="C20" s="7" t="s">
        <v>41</v>
      </c>
      <c r="D20" s="7" t="s">
        <v>27</v>
      </c>
      <c r="E20" s="7" t="s">
        <v>2</v>
      </c>
      <c r="F20" s="9" t="s">
        <v>69</v>
      </c>
      <c r="G20" s="19" t="s">
        <v>121</v>
      </c>
      <c r="H20" s="14" t="s">
        <v>122</v>
      </c>
    </row>
    <row r="21" spans="2:8" ht="16.5" x14ac:dyDescent="0.3">
      <c r="B21" s="7"/>
      <c r="C21" s="7" t="s">
        <v>41</v>
      </c>
      <c r="D21" s="7" t="s">
        <v>27</v>
      </c>
      <c r="E21" s="7" t="s">
        <v>2</v>
      </c>
      <c r="F21" s="9" t="s">
        <v>131</v>
      </c>
      <c r="G21" s="19" t="s">
        <v>118</v>
      </c>
      <c r="H21" s="14" t="s">
        <v>132</v>
      </c>
    </row>
    <row r="22" spans="2:8" ht="16.5" x14ac:dyDescent="0.3">
      <c r="B22" s="7"/>
      <c r="C22" s="7" t="s">
        <v>41</v>
      </c>
      <c r="D22" s="7" t="s">
        <v>27</v>
      </c>
      <c r="E22" s="7" t="s">
        <v>2</v>
      </c>
      <c r="F22" s="9" t="s">
        <v>75</v>
      </c>
      <c r="G22" s="19" t="s">
        <v>121</v>
      </c>
      <c r="H22" s="14"/>
    </row>
    <row r="23" spans="2:8" ht="16.5" x14ac:dyDescent="0.3">
      <c r="B23" s="7"/>
      <c r="C23" s="7" t="s">
        <v>41</v>
      </c>
      <c r="D23" s="7" t="s">
        <v>27</v>
      </c>
      <c r="E23" s="7" t="s">
        <v>2</v>
      </c>
      <c r="F23" s="9" t="s">
        <v>70</v>
      </c>
      <c r="G23" s="19" t="s">
        <v>123</v>
      </c>
      <c r="H23" s="14"/>
    </row>
    <row r="24" spans="2:8" ht="16.5" x14ac:dyDescent="0.3">
      <c r="B24" s="7"/>
      <c r="C24" s="7" t="s">
        <v>41</v>
      </c>
      <c r="D24" s="7" t="s">
        <v>27</v>
      </c>
      <c r="E24" s="7" t="s">
        <v>2</v>
      </c>
      <c r="F24" s="9" t="s">
        <v>71</v>
      </c>
      <c r="G24" s="19" t="s">
        <v>124</v>
      </c>
      <c r="H24" s="14"/>
    </row>
    <row r="25" spans="2:8" ht="16.5" x14ac:dyDescent="0.3">
      <c r="B25" s="7"/>
      <c r="C25" s="7" t="s">
        <v>41</v>
      </c>
      <c r="D25" s="7" t="s">
        <v>27</v>
      </c>
      <c r="E25" s="7" t="s">
        <v>2</v>
      </c>
      <c r="F25" s="9" t="s">
        <v>54</v>
      </c>
      <c r="G25" s="19" t="s">
        <v>114</v>
      </c>
      <c r="H25" s="14"/>
    </row>
    <row r="26" spans="2:8" ht="16.5" x14ac:dyDescent="0.3">
      <c r="B26" s="7"/>
      <c r="C26" s="7" t="s">
        <v>41</v>
      </c>
      <c r="D26" s="7" t="s">
        <v>27</v>
      </c>
      <c r="E26" s="7" t="s">
        <v>2</v>
      </c>
      <c r="F26" s="9" t="s">
        <v>72</v>
      </c>
      <c r="G26" s="19"/>
      <c r="H26" s="14" t="s">
        <v>125</v>
      </c>
    </row>
    <row r="27" spans="2:8" ht="16.5" x14ac:dyDescent="0.3">
      <c r="B27" s="7"/>
      <c r="C27" s="7" t="s">
        <v>41</v>
      </c>
      <c r="D27" s="7" t="s">
        <v>27</v>
      </c>
      <c r="E27" s="7" t="s">
        <v>2</v>
      </c>
      <c r="F27" s="9" t="s">
        <v>73</v>
      </c>
      <c r="G27" s="19"/>
      <c r="H27" s="14" t="s">
        <v>126</v>
      </c>
    </row>
    <row r="28" spans="2:8" ht="16.5" x14ac:dyDescent="0.3">
      <c r="B28" s="7"/>
      <c r="C28" s="7" t="s">
        <v>41</v>
      </c>
      <c r="D28" s="7" t="s">
        <v>27</v>
      </c>
      <c r="E28" s="7" t="s">
        <v>2</v>
      </c>
      <c r="F28" s="9" t="s">
        <v>74</v>
      </c>
      <c r="G28" s="19"/>
      <c r="H28" s="14" t="s">
        <v>127</v>
      </c>
    </row>
    <row r="29" spans="2:8" ht="16.5" x14ac:dyDescent="0.3">
      <c r="B29" s="7"/>
      <c r="C29" s="7" t="s">
        <v>41</v>
      </c>
      <c r="D29" s="7" t="s">
        <v>27</v>
      </c>
      <c r="E29" s="7" t="s">
        <v>2</v>
      </c>
      <c r="F29" s="9" t="s">
        <v>128</v>
      </c>
      <c r="G29" s="19"/>
      <c r="H29" s="14" t="s">
        <v>129</v>
      </c>
    </row>
    <row r="30" spans="2:8" ht="16.5" x14ac:dyDescent="0.3">
      <c r="B30" s="7"/>
      <c r="C30" s="7" t="s">
        <v>41</v>
      </c>
      <c r="D30" s="7" t="s">
        <v>27</v>
      </c>
      <c r="E30" s="7" t="s">
        <v>2</v>
      </c>
      <c r="F30" s="9" t="s">
        <v>57</v>
      </c>
      <c r="G30" s="19"/>
      <c r="H30" s="14" t="s">
        <v>127</v>
      </c>
    </row>
    <row r="31" spans="2:8" ht="16.5" x14ac:dyDescent="0.3">
      <c r="B31" s="7"/>
      <c r="C31" s="7" t="s">
        <v>41</v>
      </c>
      <c r="D31" s="7" t="s">
        <v>27</v>
      </c>
      <c r="E31" s="7" t="s">
        <v>2</v>
      </c>
      <c r="F31" s="9" t="s">
        <v>120</v>
      </c>
      <c r="G31" s="19"/>
      <c r="H31" s="14"/>
    </row>
    <row r="32" spans="2:8" ht="16.5" x14ac:dyDescent="0.3">
      <c r="B32" s="7"/>
      <c r="C32" s="7" t="s">
        <v>41</v>
      </c>
      <c r="D32" s="7" t="s">
        <v>27</v>
      </c>
      <c r="E32" s="7" t="s">
        <v>2</v>
      </c>
      <c r="F32" s="9" t="s">
        <v>76</v>
      </c>
      <c r="G32" s="19"/>
      <c r="H32" s="14"/>
    </row>
    <row r="33" spans="2:8" ht="16.5" x14ac:dyDescent="0.3">
      <c r="B33" s="10"/>
      <c r="C33" s="10" t="s">
        <v>41</v>
      </c>
      <c r="D33" s="10" t="s">
        <v>27</v>
      </c>
      <c r="E33" s="10" t="s">
        <v>2</v>
      </c>
      <c r="F33" s="13" t="s">
        <v>77</v>
      </c>
      <c r="G33" s="20"/>
      <c r="H33" s="14" t="s">
        <v>130</v>
      </c>
    </row>
    <row r="34" spans="2:8" ht="16.5" x14ac:dyDescent="0.3">
      <c r="H34" s="14"/>
    </row>
  </sheetData>
  <phoneticPr fontId="2" type="noConversion"/>
  <pageMargins left="0.511811024" right="0.511811024" top="0.78740157499999996" bottom="0.78740157499999996" header="0.31496062000000002" footer="0.31496062000000002"/>
  <pageSetup paperSize="9" orientation="portrait" horizontalDpi="0" verticalDpi="0" r:id="rId1"/>
  <ignoredErrors>
    <ignoredError sqref="J6:J1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24D6F-6205-4E0A-87A9-F29DF08068C4}">
  <dimension ref="B5:D49"/>
  <sheetViews>
    <sheetView zoomScale="70" zoomScaleNormal="70" workbookViewId="0">
      <selection activeCell="E13" sqref="E13"/>
    </sheetView>
  </sheetViews>
  <sheetFormatPr defaultRowHeight="15" x14ac:dyDescent="0.25"/>
  <cols>
    <col min="2" max="2" width="43.140625" bestFit="1" customWidth="1"/>
    <col min="3" max="3" width="255.7109375" bestFit="1" customWidth="1"/>
  </cols>
  <sheetData>
    <row r="5" spans="2:3" x14ac:dyDescent="0.25">
      <c r="B5" t="s">
        <v>192</v>
      </c>
    </row>
    <row r="6" spans="2:3" x14ac:dyDescent="0.25">
      <c r="B6" s="27" t="s">
        <v>185</v>
      </c>
      <c r="C6" s="27" t="s">
        <v>193</v>
      </c>
    </row>
    <row r="7" spans="2:3" x14ac:dyDescent="0.25">
      <c r="B7" s="27" t="s">
        <v>186</v>
      </c>
      <c r="C7" s="27" t="s">
        <v>194</v>
      </c>
    </row>
    <row r="8" spans="2:3" x14ac:dyDescent="0.25">
      <c r="B8" s="27" t="s">
        <v>187</v>
      </c>
      <c r="C8" s="27" t="s">
        <v>195</v>
      </c>
    </row>
    <row r="9" spans="2:3" x14ac:dyDescent="0.25">
      <c r="B9" s="27" t="s">
        <v>188</v>
      </c>
      <c r="C9" s="27" t="s">
        <v>196</v>
      </c>
    </row>
    <row r="10" spans="2:3" x14ac:dyDescent="0.25">
      <c r="B10" s="27" t="s">
        <v>189</v>
      </c>
      <c r="C10" s="27" t="s">
        <v>197</v>
      </c>
    </row>
    <row r="11" spans="2:3" x14ac:dyDescent="0.25">
      <c r="B11" s="27" t="s">
        <v>190</v>
      </c>
      <c r="C11" s="27" t="s">
        <v>198</v>
      </c>
    </row>
    <row r="12" spans="2:3" x14ac:dyDescent="0.25">
      <c r="B12" s="27" t="s">
        <v>191</v>
      </c>
      <c r="C12" s="27" t="s">
        <v>199</v>
      </c>
    </row>
    <row r="13" spans="2:3" x14ac:dyDescent="0.25">
      <c r="B13" s="27" t="s">
        <v>15</v>
      </c>
      <c r="C13" s="27" t="s">
        <v>206</v>
      </c>
    </row>
    <row r="16" spans="2:3" x14ac:dyDescent="0.25">
      <c r="B16" t="s">
        <v>34</v>
      </c>
    </row>
    <row r="17" spans="2:4" x14ac:dyDescent="0.25">
      <c r="B17" s="27" t="s">
        <v>170</v>
      </c>
      <c r="C17" s="27" t="s">
        <v>203</v>
      </c>
      <c r="D17" s="23"/>
    </row>
    <row r="18" spans="2:4" x14ac:dyDescent="0.25">
      <c r="B18" s="27" t="s">
        <v>176</v>
      </c>
      <c r="C18" s="27" t="s">
        <v>172</v>
      </c>
      <c r="D18" s="23"/>
    </row>
    <row r="19" spans="2:4" x14ac:dyDescent="0.25">
      <c r="B19" s="27" t="s">
        <v>171</v>
      </c>
      <c r="C19" s="27" t="s">
        <v>173</v>
      </c>
      <c r="D19" s="23"/>
    </row>
    <row r="20" spans="2:4" x14ac:dyDescent="0.25">
      <c r="B20" s="27" t="s">
        <v>174</v>
      </c>
      <c r="C20" s="27" t="s">
        <v>175</v>
      </c>
      <c r="D20" s="23"/>
    </row>
    <row r="21" spans="2:4" x14ac:dyDescent="0.25">
      <c r="B21" s="27" t="s">
        <v>177</v>
      </c>
      <c r="C21" s="27" t="s">
        <v>178</v>
      </c>
      <c r="D21" s="23"/>
    </row>
    <row r="22" spans="2:4" x14ac:dyDescent="0.25">
      <c r="B22" s="27" t="s">
        <v>179</v>
      </c>
      <c r="C22" s="27" t="s">
        <v>180</v>
      </c>
      <c r="D22" s="23"/>
    </row>
    <row r="23" spans="2:4" x14ac:dyDescent="0.25">
      <c r="B23" s="27" t="s">
        <v>181</v>
      </c>
      <c r="C23" s="27" t="s">
        <v>182</v>
      </c>
      <c r="D23" s="23"/>
    </row>
    <row r="24" spans="2:4" x14ac:dyDescent="0.25">
      <c r="B24" s="27" t="s">
        <v>201</v>
      </c>
      <c r="C24" s="27" t="s">
        <v>183</v>
      </c>
      <c r="D24" s="23"/>
    </row>
    <row r="25" spans="2:4" x14ac:dyDescent="0.25">
      <c r="B25" s="27" t="s">
        <v>202</v>
      </c>
      <c r="C25" s="27" t="s">
        <v>184</v>
      </c>
      <c r="D25" s="23"/>
    </row>
    <row r="28" spans="2:4" x14ac:dyDescent="0.25">
      <c r="B28" t="s">
        <v>36</v>
      </c>
    </row>
    <row r="29" spans="2:4" x14ac:dyDescent="0.25">
      <c r="B29" s="27" t="s">
        <v>187</v>
      </c>
      <c r="C29" s="27" t="s">
        <v>207</v>
      </c>
    </row>
    <row r="30" spans="2:4" x14ac:dyDescent="0.25">
      <c r="B30" s="27" t="s">
        <v>185</v>
      </c>
      <c r="C30" s="27" t="s">
        <v>208</v>
      </c>
    </row>
    <row r="31" spans="2:4" x14ac:dyDescent="0.25">
      <c r="B31" s="27" t="s">
        <v>186</v>
      </c>
      <c r="C31" s="27" t="s">
        <v>209</v>
      </c>
    </row>
    <row r="32" spans="2:4" x14ac:dyDescent="0.25">
      <c r="B32" s="27" t="s">
        <v>188</v>
      </c>
      <c r="C32" s="27" t="s">
        <v>210</v>
      </c>
    </row>
    <row r="33" spans="2:3" x14ac:dyDescent="0.25">
      <c r="B33" s="27" t="s">
        <v>189</v>
      </c>
      <c r="C33" s="27" t="s">
        <v>211</v>
      </c>
    </row>
    <row r="34" spans="2:3" x14ac:dyDescent="0.25">
      <c r="B34" s="27" t="s">
        <v>190</v>
      </c>
      <c r="C34" s="27" t="s">
        <v>212</v>
      </c>
    </row>
    <row r="35" spans="2:3" x14ac:dyDescent="0.25">
      <c r="B35" s="27" t="s">
        <v>15</v>
      </c>
      <c r="C35" s="27" t="s">
        <v>213</v>
      </c>
    </row>
    <row r="36" spans="2:3" x14ac:dyDescent="0.25">
      <c r="B36" s="27"/>
      <c r="C36" s="27"/>
    </row>
    <row r="37" spans="2:3" x14ac:dyDescent="0.25">
      <c r="B37" s="27"/>
      <c r="C37" s="27"/>
    </row>
    <row r="38" spans="2:3" x14ac:dyDescent="0.25">
      <c r="B38" s="27"/>
      <c r="C38" s="27"/>
    </row>
    <row r="41" spans="2:3" x14ac:dyDescent="0.25">
      <c r="B41" t="s">
        <v>200</v>
      </c>
    </row>
    <row r="42" spans="2:3" x14ac:dyDescent="0.25">
      <c r="B42" s="27" t="s">
        <v>187</v>
      </c>
      <c r="C42" s="27" t="s">
        <v>204</v>
      </c>
    </row>
    <row r="43" spans="2:3" x14ac:dyDescent="0.25">
      <c r="B43" s="27" t="s">
        <v>185</v>
      </c>
      <c r="C43" s="27" t="s">
        <v>205</v>
      </c>
    </row>
    <row r="44" spans="2:3" x14ac:dyDescent="0.25">
      <c r="B44" s="27" t="s">
        <v>186</v>
      </c>
      <c r="C44" s="27" t="s">
        <v>214</v>
      </c>
    </row>
    <row r="45" spans="2:3" x14ac:dyDescent="0.25">
      <c r="B45" s="27" t="s">
        <v>188</v>
      </c>
      <c r="C45" s="27" t="s">
        <v>215</v>
      </c>
    </row>
    <row r="46" spans="2:3" x14ac:dyDescent="0.25">
      <c r="B46" s="27" t="s">
        <v>189</v>
      </c>
      <c r="C46" s="27" t="s">
        <v>216</v>
      </c>
    </row>
    <row r="47" spans="2:3" x14ac:dyDescent="0.25">
      <c r="B47" s="27" t="s">
        <v>190</v>
      </c>
      <c r="C47" s="27" t="s">
        <v>217</v>
      </c>
    </row>
    <row r="48" spans="2:3" x14ac:dyDescent="0.25">
      <c r="B48" s="27" t="s">
        <v>15</v>
      </c>
      <c r="C48" s="27" t="s">
        <v>218</v>
      </c>
    </row>
    <row r="49" spans="2:3" x14ac:dyDescent="0.25">
      <c r="B49" s="27"/>
      <c r="C49" s="27"/>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Paradas Gerais</vt:lpstr>
      <vt:lpstr>Planilha1</vt:lpstr>
      <vt:lpstr>QF-AO - CPHD</vt:lpstr>
      <vt:lpstr>QF-AO - Líquidos</vt:lpstr>
      <vt:lpstr>QF-AO - SPPV</vt:lpstr>
      <vt:lpstr>AJOP SPEP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Savio Rafael</dc:creator>
  <cp:lastModifiedBy>Savio Rafael</cp:lastModifiedBy>
  <cp:lastPrinted>2024-12-16T17:42:17Z</cp:lastPrinted>
  <dcterms:created xsi:type="dcterms:W3CDTF">2015-06-05T18:19:34Z</dcterms:created>
  <dcterms:modified xsi:type="dcterms:W3CDTF">2025-11-18T12:24:32Z</dcterms:modified>
</cp:coreProperties>
</file>