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avio.rafael\Desktop\GI\Projeto OEE\"/>
    </mc:Choice>
  </mc:AlternateContent>
  <xr:revisionPtr revIDLastSave="0" documentId="13_ncr:1_{9462DD1C-4D8F-45DB-8FAD-6DB26D4F527B}" xr6:coauthVersionLast="47" xr6:coauthVersionMax="47" xr10:uidLastSave="{00000000-0000-0000-0000-000000000000}"/>
  <bookViews>
    <workbookView xWindow="-120" yWindow="-120" windowWidth="20730" windowHeight="11040" xr2:uid="{00000000-000D-0000-FFFF-FFFF00000000}"/>
  </bookViews>
  <sheets>
    <sheet name="Paradas Gerais" sheetId="2" r:id="rId1"/>
    <sheet name="Planilha1" sheetId="18" r:id="rId2"/>
    <sheet name="QF-AO - CPHD" sheetId="16" state="hidden" r:id="rId3"/>
    <sheet name="QF-AO - Líquidos" sheetId="6" state="hidden" r:id="rId4"/>
    <sheet name="QF-AO - SPPV" sheetId="15" state="hidden" r:id="rId5"/>
    <sheet name="AJOP SPEP" sheetId="17" state="hidden" r:id="rId6"/>
  </sheets>
  <definedNames>
    <definedName name="_xlnm._FilterDatabase" localSheetId="0" hidden="1">'Paradas Gerais'!$C$3:$J$3</definedName>
    <definedName name="AJUSTES">#REF!</definedName>
    <definedName name="BASE">#REF!</definedName>
    <definedName name="DADOS">#REF!</definedName>
    <definedName name="PARADAS">#REF!</definedName>
    <definedName name="TURN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8" i="18" l="1"/>
  <c r="P7" i="18"/>
  <c r="P6" i="18"/>
  <c r="P5" i="18"/>
  <c r="P4" i="18"/>
  <c r="P3" i="18"/>
  <c r="P2" i="18"/>
  <c r="H8" i="18"/>
  <c r="H7" i="18"/>
  <c r="H6" i="18"/>
  <c r="H5" i="18"/>
  <c r="H4" i="18"/>
  <c r="H3" i="18"/>
  <c r="H2" i="18"/>
  <c r="G8" i="18"/>
  <c r="G7" i="18"/>
  <c r="G6" i="18"/>
  <c r="G5" i="18"/>
  <c r="G4" i="18"/>
  <c r="G3" i="18"/>
  <c r="G2" i="18"/>
</calcChain>
</file>

<file path=xl/sharedStrings.xml><?xml version="1.0" encoding="utf-8"?>
<sst xmlns="http://schemas.openxmlformats.org/spreadsheetml/2006/main" count="1997" uniqueCount="702">
  <si>
    <t>Eventos de Força Maior</t>
  </si>
  <si>
    <t>Início e Fim de Produção</t>
  </si>
  <si>
    <t>Ajuste Operacional</t>
  </si>
  <si>
    <t>Utilidades</t>
  </si>
  <si>
    <t>Controles de Qualidade</t>
  </si>
  <si>
    <t>Pessoas - Não Planejadas</t>
  </si>
  <si>
    <t>Falta de Materiais</t>
  </si>
  <si>
    <t>Refugo</t>
  </si>
  <si>
    <t>Reprocesso</t>
  </si>
  <si>
    <t>Código</t>
  </si>
  <si>
    <t>Classe</t>
  </si>
  <si>
    <t>Natureza</t>
  </si>
  <si>
    <t>Grande Parada</t>
  </si>
  <si>
    <t>Tipo</t>
  </si>
  <si>
    <t>Tampadora</t>
  </si>
  <si>
    <t>Variação de Volume</t>
  </si>
  <si>
    <t>Paradas Planejadas</t>
  </si>
  <si>
    <t>Falta de Colaborador</t>
  </si>
  <si>
    <t>Gestão de Pessoas</t>
  </si>
  <si>
    <t>Troca de Turno</t>
  </si>
  <si>
    <t>Fluxo de Produção</t>
  </si>
  <si>
    <t>CIP/SIP</t>
  </si>
  <si>
    <t>Teste de Filtro</t>
  </si>
  <si>
    <t>Validação e Qualificação</t>
  </si>
  <si>
    <t>Parada Estratégica</t>
  </si>
  <si>
    <t>Parada Não Planejada</t>
  </si>
  <si>
    <t>Setup e Processos</t>
  </si>
  <si>
    <t>Paradas Não Planejadas</t>
  </si>
  <si>
    <t>Aguardando Análise de Amostras</t>
  </si>
  <si>
    <t>Qualidade</t>
  </si>
  <si>
    <t>Performace</t>
  </si>
  <si>
    <t>Pequenas Paradas</t>
  </si>
  <si>
    <t>Paradas Inferiores à 10 Minutos</t>
  </si>
  <si>
    <t>Envasadora</t>
  </si>
  <si>
    <t>SPPV</t>
  </si>
  <si>
    <t>Líquidos Orais</t>
  </si>
  <si>
    <t>CPHD</t>
  </si>
  <si>
    <t>Qualificação na Linha</t>
  </si>
  <si>
    <t>Validação na Linha</t>
  </si>
  <si>
    <t>Falta Matéria Prima</t>
  </si>
  <si>
    <t>Falta Material Embalagem</t>
  </si>
  <si>
    <t>Indisponibilidade Não Planejadas</t>
  </si>
  <si>
    <t>Aguardando Dossiê/RG</t>
  </si>
  <si>
    <t>Interrupção devido Etapa Posterior</t>
  </si>
  <si>
    <t>Falta de Solução/Produto</t>
  </si>
  <si>
    <t>Problemas de Segurança</t>
  </si>
  <si>
    <t xml:space="preserve">Falta de Vapor </t>
  </si>
  <si>
    <t xml:space="preserve">Falta de Ar Comprimido </t>
  </si>
  <si>
    <t xml:space="preserve">Falta de Energia </t>
  </si>
  <si>
    <t>Falha no Sistema HVAC</t>
  </si>
  <si>
    <t>Falta de Água Bruta</t>
  </si>
  <si>
    <t>Falta de WFI (CIP/SIP)</t>
  </si>
  <si>
    <t>Quebra Falha</t>
  </si>
  <si>
    <t>Limpeza e Lubrificação</t>
  </si>
  <si>
    <t>Ajuste na Velocidade de Produção</t>
  </si>
  <si>
    <t>Ajuste Posição de Faca</t>
  </si>
  <si>
    <t>Ajuste Posição dos Bicos</t>
  </si>
  <si>
    <t>Ajuste de Parâmetros de Enchimento</t>
  </si>
  <si>
    <t>Troca de Gaxetas</t>
  </si>
  <si>
    <t>Ajuste Altura da Torre</t>
  </si>
  <si>
    <t>Ajuste Posição de Estrelas</t>
  </si>
  <si>
    <t>Ajuste Posição do Mandril</t>
  </si>
  <si>
    <t>Ajuste Sincronismo de Estrelas</t>
  </si>
  <si>
    <t>Ajuste Roscas</t>
  </si>
  <si>
    <t>Ajuste Posicionador de Copos</t>
  </si>
  <si>
    <t>Troca de Silicone Tampadora</t>
  </si>
  <si>
    <t>Ajuste na Velocidade da Esteira</t>
  </si>
  <si>
    <t>Ajuste Guias de Transporte</t>
  </si>
  <si>
    <t>Ajuste em Sensores</t>
  </si>
  <si>
    <t>Ajuste na Chama dos Maçaricos</t>
  </si>
  <si>
    <t>Ajuste na Peça de Centragem</t>
  </si>
  <si>
    <t>Ajuste na Roda Estrelada</t>
  </si>
  <si>
    <t>Ajuste nas Guias</t>
  </si>
  <si>
    <t>Ajuste nas Pinças</t>
  </si>
  <si>
    <t>Ajuste no Conjunto de Agulhas</t>
  </si>
  <si>
    <t>Ajuste no Conjunto de Maçaricos</t>
  </si>
  <si>
    <t>Ajuste nos Helicoidais</t>
  </si>
  <si>
    <t>Ajuste nos Rolinhos</t>
  </si>
  <si>
    <t>Falha de Rolamentos, Correias, Polias e Engrenagens</t>
  </si>
  <si>
    <t>Travamento Elevador de Frasco</t>
  </si>
  <si>
    <t>Travamento Servo Motor</t>
  </si>
  <si>
    <t>Travamento de Faca</t>
  </si>
  <si>
    <t>Travamento de Esteira</t>
  </si>
  <si>
    <t>Entupimento de Bicos de Enchimento</t>
  </si>
  <si>
    <t>Falha Sistema de Dosagem</t>
  </si>
  <si>
    <t>Travamento de Mandril</t>
  </si>
  <si>
    <t>Quebra de Mola do Expulsador</t>
  </si>
  <si>
    <t>Falha Acoplamento Mandril</t>
  </si>
  <si>
    <t>Falha Bomba de Vácuo</t>
  </si>
  <si>
    <t>Falha de Sensores de Torres</t>
  </si>
  <si>
    <t>Falha em Válvulas do Sistema de Enchimento</t>
  </si>
  <si>
    <t>Falha de Cabos e Componentes de Transmissão</t>
  </si>
  <si>
    <t>Falha de Molas, Pinos e Parafusos</t>
  </si>
  <si>
    <t>Falha de Sensores</t>
  </si>
  <si>
    <t>Falha do Amortecedor do Conjunto das Pinças</t>
  </si>
  <si>
    <t>Falha do Came</t>
  </si>
  <si>
    <t>Falha do Disco de Freio</t>
  </si>
  <si>
    <t>Falha do Motor de Acionamento dos Rolinhos</t>
  </si>
  <si>
    <t>Falha do Motor de Acionamento Principal</t>
  </si>
  <si>
    <t>Falha IHM ou Software Envasadora</t>
  </si>
  <si>
    <t>Falha nos Sensores de Posição de Frascos</t>
  </si>
  <si>
    <t>Travamento de Mandril Tampadora</t>
  </si>
  <si>
    <t>Quebra de Esteira Transportadora de Frasco</t>
  </si>
  <si>
    <t>Quebra de Esteira Transportadora de Bombona</t>
  </si>
  <si>
    <t>Falha de Sensores da Tampadora</t>
  </si>
  <si>
    <t>Quebra do Elevador de Tampas</t>
  </si>
  <si>
    <t>Tampa Presa/Falta de Tampa</t>
  </si>
  <si>
    <t>Batoque Preso/Falta de Batoque</t>
  </si>
  <si>
    <t>Copo Preso/Falta de Copo</t>
  </si>
  <si>
    <t>Ajuste de Parâmetros de Torque</t>
  </si>
  <si>
    <t>Ausência de Espaço na Expedição</t>
  </si>
  <si>
    <t>Falha no Sincronismo de Estrelas</t>
  </si>
  <si>
    <t>Grupo</t>
  </si>
  <si>
    <t>04</t>
  </si>
  <si>
    <t>Geral</t>
  </si>
  <si>
    <t>Rompimento de Cabos de Aço das Pinças</t>
  </si>
  <si>
    <t>10</t>
  </si>
  <si>
    <t>Falha na Válvula Antiretrocesso</t>
  </si>
  <si>
    <t>02 e 10</t>
  </si>
  <si>
    <t>Falha no Conjunto de Bombas de Dosagem</t>
  </si>
  <si>
    <t>Retirada de Ampolas com Defeito do Fabricante</t>
  </si>
  <si>
    <t>02 e 10 e 12</t>
  </si>
  <si>
    <t>Abertura, Modelagem e Fechamento</t>
  </si>
  <si>
    <t>02</t>
  </si>
  <si>
    <t>11</t>
  </si>
  <si>
    <t>Helicoidal de Entreda, Abertura e Estrelas</t>
  </si>
  <si>
    <t>Fechamento</t>
  </si>
  <si>
    <t>Dosagem</t>
  </si>
  <si>
    <t>Ajuste em Sensor de Entrada</t>
  </si>
  <si>
    <t xml:space="preserve">Helocoidal </t>
  </si>
  <si>
    <t>Saída</t>
  </si>
  <si>
    <t>Ajuste no Sensor de Chama</t>
  </si>
  <si>
    <t>Aberura e Fechamento</t>
  </si>
  <si>
    <t>Estação de Dosagem</t>
  </si>
  <si>
    <t>Descrição de Lote</t>
  </si>
  <si>
    <t>01</t>
  </si>
  <si>
    <t>03</t>
  </si>
  <si>
    <t>05</t>
  </si>
  <si>
    <t>06</t>
  </si>
  <si>
    <t>07</t>
  </si>
  <si>
    <t>08</t>
  </si>
  <si>
    <t>09</t>
  </si>
  <si>
    <t>Esteira de Entrada</t>
  </si>
  <si>
    <t>Helicoidal de Entrada</t>
  </si>
  <si>
    <t>Estação de Abertura de Ampola</t>
  </si>
  <si>
    <t>Estação de Pré/Pós Gaseificação</t>
  </si>
  <si>
    <t>Distribuidor/Tanque Intermediário</t>
  </si>
  <si>
    <t>Estação de Fechamento de Ampolas</t>
  </si>
  <si>
    <t>Estrelas e Guia de Saída</t>
  </si>
  <si>
    <t>Estação de Moldagem</t>
  </si>
  <si>
    <t>Abastecimento de Frascos</t>
  </si>
  <si>
    <t>Torre de Tampa</t>
  </si>
  <si>
    <t>Torre de Batoque</t>
  </si>
  <si>
    <t>Torre de Copo</t>
  </si>
  <si>
    <t>Esteiras e Estrelas</t>
  </si>
  <si>
    <t>Falha no Pistão de Doseamento</t>
  </si>
  <si>
    <t>Falha nos Sensores de Posição de Bombonas</t>
  </si>
  <si>
    <t>Falha no Sincronismo do Mandril Tampadora</t>
  </si>
  <si>
    <t>Falha no Sincronismo da Estrela</t>
  </si>
  <si>
    <t>Ajuste Posição de Garras</t>
  </si>
  <si>
    <t>Travamento de Faca/Frasco Enroscado</t>
  </si>
  <si>
    <t>Falha no Sensor de Portas</t>
  </si>
  <si>
    <t>Falha no Inversor de Frequência Envasadora</t>
  </si>
  <si>
    <t>Falha no Inversor de Frequência Tampadora</t>
  </si>
  <si>
    <t>AVALIAR INCLUIR UMA PARADA ESPEQUECIFICA PARA QUEBRA FAALHAS DE ROTULADORA</t>
  </si>
  <si>
    <t>Apontamento</t>
  </si>
  <si>
    <t>Produto Inconforme (Perda)</t>
  </si>
  <si>
    <t>Refeições</t>
  </si>
  <si>
    <t>Falta de Internet/Sistemas</t>
  </si>
  <si>
    <t>Descrição</t>
  </si>
  <si>
    <t>Ampola Deformada</t>
  </si>
  <si>
    <t>Ampola Quebrada</t>
  </si>
  <si>
    <t>Paradas de Produção para remoção de Ampolas com Ausência de Gravação. Essa não conformidade ocorre quando a ampola não apresenta falha ou nenhuma marcação, seja ela numérica, alfanumérica ou um símbolo.</t>
  </si>
  <si>
    <t>Paradas de Produção para remoção de ampolas com rachaduras ou completamente quebradas durante o processo produtivo.</t>
  </si>
  <si>
    <t>Ampola Arranhada</t>
  </si>
  <si>
    <t>Paradas de Produção para remoção ou correção de ampolas que apresentam arranhões na superfície externa.</t>
  </si>
  <si>
    <t>Ampola com Falha na Gravação</t>
  </si>
  <si>
    <t>Ampola com Variação de Volume</t>
  </si>
  <si>
    <t>Paradas de Produção para remoção ou correção de ampolas com quantidade de solução fora do especificado.</t>
  </si>
  <si>
    <t>Ampola com Fragmento de Vidro</t>
  </si>
  <si>
    <t>Paradas de Produção para remoção ou correção de ampolas com presença de fragmentos de vidro na solução.</t>
  </si>
  <si>
    <t>Ampola com Partícula Estranha na Solução</t>
  </si>
  <si>
    <t>Paradas de Produção para remoção ou correção de ampolas com presença de partículas estranhas, não dissolvidas e móveis além das bolhas de gás e que se encontram involuntariamente dentro das soluções.</t>
  </si>
  <si>
    <t>Paradas de Produção para remoção ou correção de ampolas com não conformidade ocasionada por resquícios de vidro carbonizado na ampola.</t>
  </si>
  <si>
    <t>Paradas de Produção para remoção ou correção de ampolas com fiapo (deformação na ponta da ampola ocasionado por falha no fechamento) ou com má formação na ponta da ampola.</t>
  </si>
  <si>
    <t>Carbonização/Ponto</t>
  </si>
  <si>
    <t>Vazamento/Fissura</t>
  </si>
  <si>
    <t>Deformação/Má Formação</t>
  </si>
  <si>
    <t>Inconformidade Tampa</t>
  </si>
  <si>
    <t>Cor/Limpidez</t>
  </si>
  <si>
    <t>Fragmentos</t>
  </si>
  <si>
    <t>Alça</t>
  </si>
  <si>
    <t>SPEP</t>
  </si>
  <si>
    <t>Paradas de Produção para remoção ou correção de Frascos-Ampolas e ampolas plásticas com presença de materiais plásticos carbonizados (queimados)</t>
  </si>
  <si>
    <t>Paradas de Produção para remoção ou correção  de Frascos-Ampolas e ampolas plásticas que apresentam ruptura/rompimento do material plástico ocasionando vazamento de solução.</t>
  </si>
  <si>
    <t>Paradas de Produção para remoção ou correção de Frascos-Ampolas e ampolas plásticas que apresentam alterações na forma e/ou nas suas dimensões, resultando em configurações fora do aspecto original. Apresentam-se com excesso de material plástico (rebarba na estrutura interna e/ou externa do frasco/ampola) e/ou com espessuras inferiores a faixa de especificação preestabelecida (parede finas em comparação a espessura habitual) em virtude de má distribuição de material.</t>
  </si>
  <si>
    <t>Paradas de Produção para remoção ou correção de Frascos-Ampolas e ampolas plásticas com falhas em suas respectivas tampas, como por exemplo: solda de tampas, ausência de tampas e problemas nos lacres que ocasionem a exposição do elastômero.</t>
  </si>
  <si>
    <t>Paradas de Produção para remoção ou correção de Frascos-Ampolas e ampolas plásticas que apresentam coloração divergente do aspecto original da solução.</t>
  </si>
  <si>
    <t>Paradas de Produção para remoção ou correção de Frascos-Ampolas e ampolas plásticas que apresentam presença de materiais estranhos dentro da solução.</t>
  </si>
  <si>
    <t>Paradas de Produção para remoção ou correção de Frascos-Ampolas apresentam destaque parcial ou ausência de alça, comprometendo a utilização dos mesmos.</t>
  </si>
  <si>
    <t>LÍQUIDOS</t>
  </si>
  <si>
    <t>Ampola com Carbonização</t>
  </si>
  <si>
    <t>Ampola com Falha no Fechamento</t>
  </si>
  <si>
    <t>Paradas de Produção para remoção de Ampolas Deformadas. Essa não conformidade ocorre quando a ampola apresenta uma deformação física que não permite que ela mantenha sua forma original. Esse problema geralmente é causado por falhas no processo de fabricação da ampola por parte do fornecedor.</t>
  </si>
  <si>
    <t>Paradas de Produção para remoção de Material de Embalagem Deformados. Essa não conformidade ocorre quando frascos, batoques, tampas ou copos  apresentam uma deformação física que não permite que ela mantenha sua forma original. Esse problema geralmente é causado por falhas no processo de fabricação do item por parte do fornecedor.</t>
  </si>
  <si>
    <t>Paradas de Produção para remoção de Material de Embalagem Carbonizados ou com pontos. Essa não conformidade ocorre quando frascos, batoques, tampas ou copos  apresentam carbonização ou pontos. Esse problema geralmente é causado por falhas no processo de fabricação do item por parte do fornecedor.</t>
  </si>
  <si>
    <t>Paradas de Produção para remoção ou correção de Frascos-Ampolas e ampolas plásticas que apresentam quantidade de solução fora do especificado.</t>
  </si>
  <si>
    <t>Paradas de Produção para remoção de Bombonas ou Tampas Deformadas. Essa não conformidade ocorre quando bombonas ou tampas ou copos  apresentam uma deformação física que não permite que ela mantenha sua forma original. Esse problema geralmente é causado por falhas no processo de fabricação do item por parte do fornecedor.</t>
  </si>
  <si>
    <t>Paradas de Produção para remoção de Material de Embalagem Carbonizados ou com pontos. Essa não conformidade ocorre quando bombonas ou tampas apresentam carbonização ou pontos. Esse problema geralmente é causado por falhas no processo de fabricação do item por parte do fornecedor.</t>
  </si>
  <si>
    <t>Paradas de Produção para remoção ou correção de Bombonas que apresentam ruptura/rompimento de um ou mais componentes ocasionando vazamentos.</t>
  </si>
  <si>
    <t>Paradas de Produção para remoção ou correção Bombonas que apresentam  com falhas em suas tampas como por exemplo: encaixe ou rosqueamento de tampas, ausência de tampas e problemas nos lacres que ocasionem a exposição do produto.</t>
  </si>
  <si>
    <t>Paradas de Produção para remoção ou correção de Bombonas que apresentam coloração divergente do aspecto original da solução.</t>
  </si>
  <si>
    <t>Paradas de Produção para remoção ou correção de Bombonas que apresentam presença de materiais estranhos dentro da solução.</t>
  </si>
  <si>
    <t>Paradas de Produção para remoção ou correção de Bombonas que apresentam quantidade de solução fora do especificado.</t>
  </si>
  <si>
    <t>Paradas de Produção para remoção ou correção de  Frascos que apresentam ruptura/rompimento de um ou mais componentes ocasionando vazamentos.</t>
  </si>
  <si>
    <t>Paradas de Produção para remoção ou correção de Frascos que apresentam  com falhas em suas tampas ou batoques, como por exemplo: encaixe ou rosqueamento de tampas/batoque, ausência de tampas/batoque e problemas nos lacres que ocasionem a exposição do produto.</t>
  </si>
  <si>
    <t>Paradas de Produção para remoção ou correção de Frascos que apresentam coloração divergente do aspecto original da solução.</t>
  </si>
  <si>
    <t>Paradas de Produção para remoção ou correção de Frascos que apresentam presença de materiais estranhos dentro da solução.</t>
  </si>
  <si>
    <t>Paradas de Produção para remoção ou correção de Frascos que apresentam quantidade de solução fora do especificado.</t>
  </si>
  <si>
    <t>Ajuste Operacional - SPEP</t>
  </si>
  <si>
    <t>Ajuste Operacional - SPPV</t>
  </si>
  <si>
    <t>Ajuste Operacional - CPHD</t>
  </si>
  <si>
    <t>Ajuste Operacional - Líquidos Orais</t>
  </si>
  <si>
    <t>Sem Programação PMP</t>
  </si>
  <si>
    <t>Componente</t>
  </si>
  <si>
    <t>Disponibilidade</t>
  </si>
  <si>
    <t>Painel Elétrico</t>
  </si>
  <si>
    <t>Sistema de Extrusão</t>
  </si>
  <si>
    <t>Sistema de Moldagem</t>
  </si>
  <si>
    <t>Mandril de Sopro/Envase</t>
  </si>
  <si>
    <t>Sistema de Distribuição de Frascos</t>
  </si>
  <si>
    <t>Quadro de Assepsia</t>
  </si>
  <si>
    <t>Unidade de Transporte de Frascos</t>
  </si>
  <si>
    <t>Sistema De Elevação de Frascos</t>
  </si>
  <si>
    <t>Conjunto de Carregamento de Tampas</t>
  </si>
  <si>
    <t>Carro do Espelho de Aquecimento</t>
  </si>
  <si>
    <t>Pinça de Fechamento das Tampas</t>
  </si>
  <si>
    <t>Unidade de Evacuação de Frascos</t>
  </si>
  <si>
    <t>Esteira de Saída de Frascos</t>
  </si>
  <si>
    <t>Quadro Pneumático Principal</t>
  </si>
  <si>
    <t>Quadro Elétrico</t>
  </si>
  <si>
    <t>Quebra Falha - CPHD</t>
  </si>
  <si>
    <t>Quebra Falha - Líquidos Orais</t>
  </si>
  <si>
    <t>Quebra Falha - SPPV</t>
  </si>
  <si>
    <t>Quebra Falha - SPEP</t>
  </si>
  <si>
    <t>Indisponibilidade</t>
  </si>
  <si>
    <t>Parada programada da produção, por falta de demanda ou atingimento do PMP. Esta parada inclui por exemplo, Turno não Planejado, Domingos, Feriados, Atingimento do PMP antes do planejado, etc.</t>
  </si>
  <si>
    <t>Paradas causadas por eventos imprevisíveis e incontroláveis, externo à Farmace, como desastres naturais, incêndios, enchentes ou decisões governamentais que impeçam a produção.</t>
  </si>
  <si>
    <t>Manutenção Planejada</t>
  </si>
  <si>
    <t>Parada programada de produção para atendimento à regulação do segmento do negócio. Esta parada inclui por exemplo, Certificação e Qualificação de Áreas, Desenvolvimento de novos produtos ou equipamentos, etc.</t>
  </si>
  <si>
    <t>Atendimento Regulatório e Inovação</t>
  </si>
  <si>
    <t>Fim Produção</t>
  </si>
  <si>
    <t>Início de Produção</t>
  </si>
  <si>
    <t>Troca de Formato/Produto</t>
  </si>
  <si>
    <t>Paradas Prevista em PMP, necessária para o preparo inicial da produção, incluindo aquecimento de equipamentos e ajustes operacionais de partida de linha. Deve ser apontado após cada retorno de produção. Ex: Troca de Lote, Retorno de Refeição, Troca de Turno e Início pós CIP/SIP.</t>
  </si>
  <si>
    <t>Paradas Prevista em PMP ao término da produção para limpeza, organização e liberação da área, assegurando conformidade com normas de qualidade e para sequência da operação.</t>
  </si>
  <si>
    <t>Paradas Prevista em PMP para Limpeza e sanitização automática dos sistemas de produção (Cleaning/Sterilization in Place), obrigatória entre campanhas de mesmo produto, sem a necessidade de mudança de SKU para atendimento do PMP.</t>
  </si>
  <si>
    <t>Paradas Prevista em PMP, fora do CIP/SIP, para verificação obrigatória da integridade dos filtros utilizados no processo produtivo, garantindo esterilidade e conformidade com padrões de qualidade.</t>
  </si>
  <si>
    <t>Paradas Prevista em PMP para substituir componentes específicos das máquinas, como moldes ou formatos, a fim de adequá-las a novos produtos ou apresentações. Além de Limpeza e Sanitização com mudança de produto, com objetivo de atendimento do PMP.</t>
  </si>
  <si>
    <t>Limpeza Planejada de Componentes</t>
  </si>
  <si>
    <t>Paradas Prevista em PMP, durante processo produtivo, para cumpir processo de circulação de água nos moldes, limpeza de canais de vácuo e outros elementos, previsto em procedimento, para garantir a estabilidade térmica e o correto funcionamento da produção. Essencial para assegurar a qualidade dos produtos envasados.</t>
  </si>
  <si>
    <t>Paradas Prevista em PMP para realizar Manutenções Preventivas (Plano 52Semanas) e Corretivas Planejadas (Correções de problemas sem necessidade de intervenções emergenciais). Envolve Manutenções na Linha Produtiva (Preparação, Envase e Embalagem), Utilidades ou Estrutural, incluindo Reformas e Construção.</t>
  </si>
  <si>
    <t>Paradas Prevista em PM para Atividades de qualificação formal da linha de produção, assegurando que os equipamentos e processos operam conforme os critérios estabelecidos</t>
  </si>
  <si>
    <t>Paradas Prevista em PMP para Processo de validação documental e prática dos sistemas produtivos para garantir reprodutibilidade, segurança e conformidade regulatória. Envolve todas as ações referentes a Validação, incluindo CIP/SIP, Paradas devido Tempo de Processo, Coleta de Amostras, etc.</t>
  </si>
  <si>
    <t>Paradas Prevista em PMP dedicadas ao desenvolvimento de pessoal, através de treinamentos técnicos, reuniões de alinhamento ou eventos internos obrigatórios.</t>
  </si>
  <si>
    <t>Falha Sistema de Água Gelada</t>
  </si>
  <si>
    <t>Parada não planejada acima de 10 Minutos  causada por falhas no sistema de água gelada que alimenta as linhas produtivas.</t>
  </si>
  <si>
    <t>Parada não planejada acima de 10 Minutos devido interrupção do fornecimento elétrico externo ou interno, impossibilitando a operação de máquinas e sistemas essenciais à produção.</t>
  </si>
  <si>
    <t>Parada não planejada acima de 10 Minutos devido falta de conexão de rede, comprometendo sistemas informatizados ou integrados à operação produtiva.</t>
  </si>
  <si>
    <t>Parada não planejada acima de 10 Minutos devido tempo de espera pela liberação de análises laboratoriais que autorizam a continuidade da produção ou início de novas etapas. Incluído tempo entre comunicação dos laboratórios e logística de entrega de etiquetas.</t>
  </si>
  <si>
    <t>Parada não planejada acima de 10 Minutos devido atraso ou impossibilidade de continuar o processo em etapas posteriores, gerando retenção da produção atual. Envolvem problemas em autoclaves, falta de bandeja, falta de magazine, interrupções na embalagem, problemas com esteiras de saída de envase, etc.</t>
  </si>
  <si>
    <t>Parada não planejada acima de 10 Minutos devido impossibilidade de prosseguir com a produção pela falta de espaço físico para armazenar ou expedir os produtos acabados.</t>
  </si>
  <si>
    <t>Parada não planejada acima de 10 Minutos devido ausência de colaboradores, operadores ou técnicos essenciais ao processo, seja por falta, atraso ou indisponibilidade imprevista.</t>
  </si>
  <si>
    <t>Parada não planejada acima de 10 Minutos entre os turnos de trabalho, utilizada para passagem de informações e revezamento de equipe na linha.</t>
  </si>
  <si>
    <t>Parada não planejada acima de 10 Minutos devido período de refeições dos colaboradores, sem operação produtiva no intervalo.</t>
  </si>
  <si>
    <t>Parada não planejada acima de 10 Minutos  para remoção ou correção de Frascos-Ampolas e ampolas plásticas com presença de materiais plásticos carbonizados (queimados)</t>
  </si>
  <si>
    <t>Parada não planejada acima de 10 Minutos para remoção ou correção  de Frascos-Ampolas e ampolas plásticas que apresentam ruptura/rompimento do material plástico ocasionando vazamento de solução.</t>
  </si>
  <si>
    <t>Parada não planejada acima de 10 Minutos para remoção ou correção de Frascos-Ampolas e ampolas plásticas que apresentam alterações na forma e/ou nas suas dimensões, resultando em configurações fora do aspecto original. Apresentam-se com excesso de material plástico (rebarba na estrutura interna e/ou externa do frasco/ampola) e/ou com espessuras inferiores a faixa de especificação preestabelecida (parede finas em comparação a espessura habitual) em virtude de má distribuição de material.</t>
  </si>
  <si>
    <t>Parada não planejada acima de 10 Minutos para remoção ou correção de Frascos-Ampolas e ampolas plásticas com falhas em suas respectivas tampas, como por exemplo: solda de tampas, ausência de tampas e problemas nos lacres que ocasionem a exposição do elastômero.</t>
  </si>
  <si>
    <t>Parada não planejada acima de 10 Minutos para remoção ou correção de Frascos-Ampolas e ampolas plásticas que apresentam coloração divergente do aspecto original da solução.</t>
  </si>
  <si>
    <t>Parada não planejada acima de 10 Minutos para remoção ou correção de Frascos-Ampolas e ampolas plásticas que apresentam presença de materiais estranhos dentro da solução.</t>
  </si>
  <si>
    <t>Parada não planejada acima de 10 Minutos para remoção ou correção de Frascos-Ampolas apresentam destaque parcial ou ausência de alça, comprometendo a utilização dos mesmos.</t>
  </si>
  <si>
    <t>Parada não planejada acima de 10 Minutos para remoção ou correção de Frascos-Ampolas e ampolas plásticas que apresentam quantidade de solução fora do especificado.</t>
  </si>
  <si>
    <t>Parada não planejada acima de 10 Minutos para remoção de Ampolas Deformadas. Essa não conformidade ocorre quando a ampola apresenta uma deformação física que não permite que ela mantenha sua forma original. Esse problema geralmente é causado por falhas no processo de fabricação da ampola por parte do fornecedor.</t>
  </si>
  <si>
    <t>Parada não planejada acima de 10 Minutos para remoção de Ampolas com Ausência de Gravação. Essa não conformidade ocorre quando a ampola não apresenta falha ou nenhuma marcação, seja ela numérica, alfanumérica ou um símbolo.</t>
  </si>
  <si>
    <t>Parada não planejada acima de 10 Minutos para remoção de ampolas com rachaduras ou completamente quebradas durante o processo produtivo.</t>
  </si>
  <si>
    <t>Parada não planejada acima de 10 Minutos para remoção ou correção de ampolas que apresentam arranhões na superfície externa.</t>
  </si>
  <si>
    <t>Parada não planejada acima de 10 Minutos para remoção ou correção de ampolas com quantidade de solução fora do especificado.</t>
  </si>
  <si>
    <t>Parada não planejada acima de 10 Minutos para remoção ou correção de ampolas com presença de fragmentos de vidro na solução.</t>
  </si>
  <si>
    <t>Parada não planejada acima de 10 Minutos para remoção ou correção de ampolas com presença de partículas estranhas, não dissolvidas e móveis além das bolhas de gás e que se encontram involuntariamente dentro das soluções.</t>
  </si>
  <si>
    <t>Parada não planejada acima de 10 Minutos para remoção ou correção de ampolas com não conformidade ocasionada por resquícios de vidro carbonizado na ampola.</t>
  </si>
  <si>
    <t>Parada não planejada acima de 10 Minutos para remoção ou correção de ampolas com fiapo (deformação na ponta da ampola ocasionado por falha no fechamento) ou com má formação na ponta da ampola.</t>
  </si>
  <si>
    <t>Parada não planejada acima de 10 Minutos para remoção de Bombonas ou Tampas Deformadas. Essa não conformidade ocorre quando bombonas ou tampas ou copos  apresentam uma deformação física que não permite que ela mantenha sua forma original. Esse problema geralmente é causado por falhas no processo de fabricação do item por parte do fornecedor.</t>
  </si>
  <si>
    <t>Parada não planejada acima de 10 Minutos para remoção de Material de Embalagem Carbonizados ou com pontos. Essa não conformidade ocorre quando bombonas ou tampas apresentam carbonização ou pontos. Esse problema geralmente é causado por falhas no processo de fabricação do item por parte do fornecedor.</t>
  </si>
  <si>
    <t>Parada não planejada acima de 10 Minutos para remoção ou correção de Bombonas que apresentam ruptura/rompimento de um ou mais componentes ocasionando vazamentos.</t>
  </si>
  <si>
    <t>Parada não planejada acima de 10 Minutos para remoção ou correção Bombonas que apresentam  com falhas em suas tampas como por exemplo: encaixe ou rosqueamento de tampas, ausência de tampas e problemas nos lacres que ocasionem a exposição do produto.</t>
  </si>
  <si>
    <t>Parada não planejada acima de 10 Minutos para remoção ou correção de Bombonas que apresentam coloração divergente do aspecto original da solução.</t>
  </si>
  <si>
    <t>Parada não planejada acima de 10 Minutos para remoção ou correção de Bombonas que apresentam presença de materiais estranhos dentro da solução.</t>
  </si>
  <si>
    <t>Parada não planejada acima de 10 Minutos para remoção ou correção de Bombonas que apresentam quantidade de solução fora do especificado.</t>
  </si>
  <si>
    <t>Parada não planejada acima de 10 Minutos para remoção de Material de Embalagem Deformados. Essa não conformidade ocorre quando frascos, batoques, tampas ou copos  apresentam uma deformação física que não permite que ela mantenha sua forma original. Esse problema geralmente é causado por falhas no processo de fabricação do item por parte do fornecedor.</t>
  </si>
  <si>
    <t>Parada não planejada acima de 10 Minutos para remoção de Material de Embalagem Carbonizados ou com pontos. Essa não conformidade ocorre quando frascos, batoques, tampas ou copos  apresentam carbonização ou pontos. Esse problema geralmente é causado por falhas no processo de fabricação do item por parte do fornecedor.</t>
  </si>
  <si>
    <t>Parada não planejada acima de 10 Minutos para remoção ou correção de  Frascos que apresentam ruptura/rompimento de um ou mais componentes ocasionando vazamentos.</t>
  </si>
  <si>
    <t>Parada não planejada acima de 10 Minutos para remoção ou correção de Frascos que apresentam  com falhas em suas tampas ou batoques, como por exemplo: encaixe ou rosqueamento de tampas/batoque, ausência de tampas/batoque e problemas nos lacres que ocasionem a exposição do produto.</t>
  </si>
  <si>
    <t>Parada não planejada acima de 10 Minutos para remoção ou correção de Frascos que apresentam coloração divergente do aspecto original da solução.</t>
  </si>
  <si>
    <t>Parada não planejada acima de 10 Minutos para remoção ou correção de Frascos que apresentam presença de materiais estranhos dentro da solução.</t>
  </si>
  <si>
    <t>Parada não planejada acima de 10 Minutos para remoção ou correção de Frascos que apresentam quantidade de solução fora do especificado.</t>
  </si>
  <si>
    <t>Parada não planejada acima de 10 Minutos no equipamento responsável por realizar o enchimento automático das bombonas com a solução de hemodiálise, dosando volumes precisos de produto conforme especificações do processo.</t>
  </si>
  <si>
    <t>Parada não planejada acima de 10 Minutos no equipamento responsável por posicionar e aplicar as tampas nas bombonas após o envase, garantindo o fechamento adequado e a integridade da embalagem.</t>
  </si>
  <si>
    <t>Parada não planejada acima de 10 Minutos no conjunto de sistemas mecânicos de transporte e indexação. As esteiras movem as bombonas entre as etapas do processo de forma linear, enquanto as estrelas realizam o posicionamento rotativo ou sincronizado das embalagens entre estações da linha.</t>
  </si>
  <si>
    <t>Parada não planejada acima de 10 Minutos na unidade central que abriga os componentes elétricos e eletrônicos responsáveis pelo controle e alimentação dos equipamentos da linha, como CLPs, disjuntores, relés, fontes e IHM.</t>
  </si>
  <si>
    <t>Parada não planejada acima de 10 Minutos no Sistema responsável por alimentar automaticamente a linha de produção com frascos vazios, organizando e posicionando-os para o início do processo de envase.</t>
  </si>
  <si>
    <t>Parada não planejada acima de 10 Minutos no equipamento responsável por realizar o enchimento automático dos frascos, dosando volumes precisos de produto conforme especificações do processo.</t>
  </si>
  <si>
    <t>Parada não planejada acima de 10 Minutos no equipamento da linha que insere o batoque (gotejador) no frasco após o envase, garantindo o posicionamento correto do componente.</t>
  </si>
  <si>
    <t>Parada não planejada acima de 10 Minutos no equipamento responsável por posicionar e aplicar a tampa sobre o frasco, realizando o fechamento hermético necessário para garantir a integridade do produto.</t>
  </si>
  <si>
    <t>Parada não planejada acima de 10 Minutosno equipamento responsável por posicionar e aplicar a copo sobre o frasco já com tampa.</t>
  </si>
  <si>
    <t>Parada não planejada acima de 10 Minutos no conjunto de sistemas mecânicos de transporte e indexação. As esteiras movem os frascos entre as etapas do processo de forma linear, enquanto as estrelas realizam o posicionamento rotativo ou sincronizado das embalagens entre estações da linha.</t>
  </si>
  <si>
    <t>Parada não planejada acima de 10 Minutos no Sistema de transporte que alimenta a linha com ampolas vazias, conduzindo-as até o início do processo produtivo de forma contínua e organizada.</t>
  </si>
  <si>
    <t>Parada não planejada acima de 10 Minutos no Mecanismo que realiza a separação e o espaçamento individual das ampolas provenientes da esteira de entrada, garantindo o sincronismo necessário para o ingresso preciso nas estações subsequentes da máquina.</t>
  </si>
  <si>
    <t>Parada não planejada acima de 10 Minutos na Estação responsável pela remoção controlada da ponta da ampola de vidro, criando uma abertura precisa para posterior envase, sem comprometer a integridade da ampola.</t>
  </si>
  <si>
    <t>Parada não planejada acima de 10 Minutos na Estação que realiza o ajuste térmico e modelagem da abertura da ampola, preparando sua geometria para receber o líquido e posteriormente ser fechada com segurança.</t>
  </si>
  <si>
    <t xml:space="preserve">Parada não planejada acima de 10 Minutos na Estação que realiza a injeção de gás inerte (como nitrogênio) antes e/ou após o envase. </t>
  </si>
  <si>
    <t>Parada não planejada acima de 10 Minutos na Estação que realiza o envase preciso do produto estéril no interior das ampolas, utilizando sistemas volumétricos calibrados para atender às especificações de dosagem do medicamento.</t>
  </si>
  <si>
    <t>Parada não planejada acima de 10 Minutos no Reservatório localizado entre o sistema de preparo e a máquina de envase, responsável por garantir o suprimento contínuo e controlado do líquido à estação de dosagem, mantendo pressão e volume adequados.</t>
  </si>
  <si>
    <t>Parada não planejada acima de 10 Minutos na Estação da máquina que executa o fechamento térmico da ampola após o envase, fundindo a ponta superior de vidro por meio de chama controlada para garantir o fechamento asséptico.</t>
  </si>
  <si>
    <t>Parada não planejada acima de 10 Minutos no Conjunto de sistemas mecânicos que realiza a movimentação precisa das ampolas entre as estações da máquina (estrelas) e sua condução ao final da linha após o fechamento (guia de saída), assegurando o transporte seguro e ordenado.</t>
  </si>
  <si>
    <t>Parada não planejada acima de 10 Minutos no Sistema responsável pela plastificação do PEBD e formação dos parisons que darão origem aos frascos. Envolve: Moega de Granulado, Extrusora, Cabeçote, Sistema de Hidraulico de Elevação e Termoregulador da Extrusora.</t>
  </si>
  <si>
    <t>Parada não planejada acima de 10 Minutos no Sistema que executa a moldagem dos parisons em frascos por meio do fechamento dos moldes e cortes do excesso de material. Envolve: Conjunto de Fechamento do Molde, Conjunto Swivel, Conjunto de Corte do Parison, Conjunto de Extração de Frascos, Punção de Rebarba Superior e Inferior.</t>
  </si>
  <si>
    <t>Parada não planejada acima de 10 Minutos no Sistema responsável por soprar o parison contra o molde formando o frasco e imediatamente envasar o produto estéril em seu interior. Envolve: Conjunto de Elevação do Mandril, Conjunto de Sopro/Enchimento, Tanque Sob Pressão - Produto, Válvulas de Dosagem e Conjunto da ASR.</t>
  </si>
  <si>
    <t>Parada não planejada acima de 10 Minutos no Sistema que faz a transferência dos frascos prontos do ambiente asséptico para as próximas etapas da linha de produção, mantendo o alinhamento e ritmo. Envolve: Garra Horizontal (Lado Esquerdo - Unidade de Transferência), Garra Vertical (Lado Esquerdo - Unidade de Transferência), Unidade de Transferência (Lado Esquerdo - Lado Direito), Garra Horizontal (Lado Direito - SM), Garra Vertical (Lado Direito - SM), Garra Horizontal (Unidade de Transferência - SM), Garra Vertical (Unidade de Transferência - SM).</t>
  </si>
  <si>
    <t>Parada não planejada acima de 10 Minutos no Painel que integra os componentes de filtragem e assepsia do ar e vapor utilizados no processo para manter o ambiente interno estéril. Envolve: Filtro de Produto, Filtro do Ar Intermediário, Filtro do Ar de Sopro e de Apoio, Filtro da ASR, Filtro de Vapor Estéril, Filtro Pré-regulador e Recipiente Prévio Saída de Exaustão.</t>
  </si>
  <si>
    <t>Parada não planejada acima de 10 Minutos no Sistema que Agrupa os módulos auxiliares essenciais ao funcionamento da máquina como vácuo, lubrificação, resfriamento, ar comprimido e hidráulico. Envolve: Unidade Hidraulica, Conjunto de Vácuo, Filtro de Exaustão Ar Estéril, Soprador ASR, Exaustor de Resíduos do Quadro, Exaustor do Cabeçote da Extrusora, Bloco de Válvulas Pneumáticas, Bomba de Lubrificação Central, Bomba de Refrigeração do Mandril, Trocador de Calor da Refrigeração do Mandril, Unidade de Tratamento de Ar Principal, Unidade de Tratamento de Ar Secundária, Unidade de Resfriamento do Mandril, Unidade de Regulagem de Temperatura de Água Gelada, Reguladora de Pressão - BB de Vácuo.</t>
  </si>
  <si>
    <t>Parada não planejada acima de 10 Minutos no Sistema que transporta os frascos moldados até as próximas etapas da linha, assegurando ritmo e posicionamento. Envolve: Servo-eixo Pneumático, Garra de Transporte 1 e Garra de Transporte 2.</t>
  </si>
  <si>
    <t>Parada não planejada acima de 10 Minutos no Sistema que realiza a elevação e reposicionamento dos frascos conforme necessidade da linha. Envolve: Console e Suporte do Frasco.</t>
  </si>
  <si>
    <t>Parada não planejada acima de 10 Minutos no Sistema que Executa a alimentação automatizada das tampas para os frascos moldados. Envolve: Batente das Tampas, Transportador Linear, Trilho de Carregamento e Estação de Transferência.</t>
  </si>
  <si>
    <t>Parada não planejada acima de 10 Minutos no Módulo responsável por posicionar e aquecer o espelho térmico que realiza a selagem da embalagem. Envolve: Espelho de Aquecimento, Cilindro do Elemento de Aquecimento e Elemento de Aquecimento do Carro.</t>
  </si>
  <si>
    <t xml:space="preserve">Parada não planejada acima de 10 Minutos no Sistema que executa o fechamento físico e mecânico das tampas aplicadas nos frascos. </t>
  </si>
  <si>
    <t>Parada não planejada acima de 10 Minutos no Sistema que retira os frascos rejeitados ou não conformes do fluxo produtivo. Envolve: Unidade de Deslocamento e Garra Paralela.</t>
  </si>
  <si>
    <t>Parada não planejada acima de 10 Minutos no elemento que transporta os frascos finalizados para os próximos processos da produção (inspeção, rotulagem, empacotamento).</t>
  </si>
  <si>
    <t>Parada não planejada acima de 10 Minutos no Painel que abriga e regula os circuitos de ar comprimido utilizados nos sistemas pneumáticos da máquina</t>
  </si>
  <si>
    <t>Parada não planejada acima de 10 Minutos devido falha no sistema de climatização (HVAC).</t>
  </si>
  <si>
    <t>Parada não planejada acima de 10 Minutos devido falha no abastecimento de ar comprimido industrial.</t>
  </si>
  <si>
    <t>Parada não planejada acima de 10 Minutos devido falha no abastecimento de vapor necessário para processos térmicos.</t>
  </si>
  <si>
    <t>Parada não planejada acima de 10 Minutos devido falha no abastecimento de água não tratada utilizada em utilidades ou processos de produção indiretos.</t>
  </si>
  <si>
    <t>Parada não planejada acima de 10 Minutos devido falta de água para injetáveis (WFI), necessária para sanitização, limpeza e processos em áreas estéreis.</t>
  </si>
  <si>
    <t>Parada não planejada acima de 10 Minutos devido ausência de abastecimento de semi-acabados (solução intermediária ou produto envasado).</t>
  </si>
  <si>
    <t>Falta de Gases</t>
  </si>
  <si>
    <t>Parada não planejada acima de 10 Minutos devido falha no abastecimento de gases necessário para processos produtivos (nitrogênio, oxigênio, GLP)</t>
  </si>
  <si>
    <t>Parada não planejada acima de 10 Minutos devido falta de matérias primas que inviabilizam o início do processo de preparação de uma solução.</t>
  </si>
  <si>
    <t>Parada não planejada acima de 10 Minutos devido ausência de materiais de embalagem ou materiais fora da especificação (PEBD,  PEAD, frascos, rótulos, tampas, caixas, etc).</t>
  </si>
  <si>
    <t>Falta Materiais GGF</t>
  </si>
  <si>
    <t>Parada não planejada acima de 10 Minutos devido ausência de materias do GGF (Gastos Gerais de Fabricação) ou materiais fora da especificação (Filtro, Ribbon, Fita, Tintas, Solventes, polifilme, pallets, etc).</t>
  </si>
  <si>
    <t>Parada não planejada acima de 10 Minutos devido à ausência de documentação obrigatória, como registros de fabricação ou dossiês técnicos.</t>
  </si>
  <si>
    <t>Paradas não planejadas abaixo de 10 minutos, que irão gerar impacto na performance do equipamento. Essa parada é classificada automaticamente pelo sistema, por isso, não deve ser apontada.</t>
  </si>
  <si>
    <t>Velocidade Reduzida</t>
  </si>
  <si>
    <t>Linha rodando abaixo de sua velocidade nominal validada, por uma causa sabida, desconhecida ou falta/erro de apontamento. Essa perda é calculada automaticamente pelo sistema, por isso, não deve ser apontada.</t>
  </si>
  <si>
    <t>Perda causada pela geração de produto fora das especificações, sendo considerado refugo ou perda irreversível de produto semi-acabado ou acabado. Essa perda é calculada automaticamente a partir do apontamento de quantidade de refugo fora da especificação.</t>
  </si>
  <si>
    <t>Parada não planejada acima de 10 Minutos para realização de reprocesso/retrabalho de produtos na linha produtiva.</t>
  </si>
  <si>
    <t>Treinamento/ Reuniões/Eventos</t>
  </si>
  <si>
    <t>Parada não planejada acima de 10 Minutos devido riscos, acidentes ou incidentes que comprometem a integridade física dos colaboradores ou segurança da operação. Além disso, acionamentos intencionais e  não intencionais de dispositivos de segurança da linha.</t>
  </si>
  <si>
    <t>Paradas não Planejadas</t>
  </si>
  <si>
    <t>Limpeza não planejada</t>
  </si>
  <si>
    <t>Enrosco / Tombamentos</t>
  </si>
  <si>
    <t>Parada não planejada acima de 10 Minutos para realização de Limpezas e CIP/SIP para garantir a integridade do produto semi-acabado e acabado.</t>
  </si>
  <si>
    <t>Linha</t>
  </si>
  <si>
    <t>Setor</t>
  </si>
  <si>
    <t>Data</t>
  </si>
  <si>
    <t>Mês</t>
  </si>
  <si>
    <t>Semana</t>
  </si>
  <si>
    <t>Parada</t>
  </si>
  <si>
    <t>Inicio</t>
  </si>
  <si>
    <t>Termino</t>
  </si>
  <si>
    <t>Duração</t>
  </si>
  <si>
    <t>Linha A</t>
  </si>
  <si>
    <t>P1.3</t>
  </si>
  <si>
    <t>P6.13</t>
  </si>
  <si>
    <t>P5.8</t>
  </si>
  <si>
    <t>P2.2</t>
  </si>
  <si>
    <t>P6.9</t>
  </si>
  <si>
    <t>P6.2</t>
  </si>
  <si>
    <t>Trimestre</t>
  </si>
  <si>
    <t>2T25</t>
  </si>
  <si>
    <t>Ano</t>
  </si>
  <si>
    <t>Turno</t>
  </si>
  <si>
    <t>D1 12x36</t>
  </si>
  <si>
    <t>N1 12x36</t>
  </si>
  <si>
    <t>SPEP-P1.3</t>
  </si>
  <si>
    <t>SKU</t>
  </si>
  <si>
    <t>07010012</t>
  </si>
  <si>
    <t>Produtividade (Und/H)</t>
  </si>
  <si>
    <t>Máscara2</t>
  </si>
  <si>
    <t>Linha A07010012</t>
  </si>
  <si>
    <t>1.1</t>
  </si>
  <si>
    <t>1.2</t>
  </si>
  <si>
    <t>1.3</t>
  </si>
  <si>
    <t>2.1</t>
  </si>
  <si>
    <t>3.1</t>
  </si>
  <si>
    <t>3.2</t>
  </si>
  <si>
    <t>4.1</t>
  </si>
  <si>
    <t>4.2</t>
  </si>
  <si>
    <t>4.3</t>
  </si>
  <si>
    <t>4.4</t>
  </si>
  <si>
    <t>5.1</t>
  </si>
  <si>
    <t>5.2</t>
  </si>
  <si>
    <t>6.1</t>
  </si>
  <si>
    <t>6.2</t>
  </si>
  <si>
    <t>7.1</t>
  </si>
  <si>
    <t>7.2</t>
  </si>
  <si>
    <t>7.3</t>
  </si>
  <si>
    <t>7.4</t>
  </si>
  <si>
    <t>7.5</t>
  </si>
  <si>
    <t>7.6</t>
  </si>
  <si>
    <t>7.7</t>
  </si>
  <si>
    <t>7.8</t>
  </si>
  <si>
    <t>7.9</t>
  </si>
  <si>
    <t>8.1</t>
  </si>
  <si>
    <t>8.2</t>
  </si>
  <si>
    <t>8.3</t>
  </si>
  <si>
    <t>8.4</t>
  </si>
  <si>
    <t>9.1</t>
  </si>
  <si>
    <t>9.2</t>
  </si>
  <si>
    <t>10.1</t>
  </si>
  <si>
    <t>10.2</t>
  </si>
  <si>
    <t>11.1</t>
  </si>
  <si>
    <t>11.2</t>
  </si>
  <si>
    <t>11.3</t>
  </si>
  <si>
    <t>12.1</t>
  </si>
  <si>
    <t>12.2</t>
  </si>
  <si>
    <t>13.1</t>
  </si>
  <si>
    <t>13.2</t>
  </si>
  <si>
    <t>14.1</t>
  </si>
  <si>
    <t>14.2</t>
  </si>
  <si>
    <t>14.3</t>
  </si>
  <si>
    <t>14.4</t>
  </si>
  <si>
    <t>14.5</t>
  </si>
  <si>
    <t>14.6</t>
  </si>
  <si>
    <t>14.7</t>
  </si>
  <si>
    <t>14.8</t>
  </si>
  <si>
    <t>14.9</t>
  </si>
  <si>
    <t>14.10</t>
  </si>
  <si>
    <t>15.1</t>
  </si>
  <si>
    <t>15.2</t>
  </si>
  <si>
    <t>15.3</t>
  </si>
  <si>
    <t>15.4</t>
  </si>
  <si>
    <t>15.5</t>
  </si>
  <si>
    <t>15.6</t>
  </si>
  <si>
    <t>15.7</t>
  </si>
  <si>
    <t>15.8</t>
  </si>
  <si>
    <t>15.9</t>
  </si>
  <si>
    <t>16.1</t>
  </si>
  <si>
    <t>16.2</t>
  </si>
  <si>
    <t>16.3</t>
  </si>
  <si>
    <t>16.4</t>
  </si>
  <si>
    <t>16.5</t>
  </si>
  <si>
    <t>16.6</t>
  </si>
  <si>
    <t>16.7</t>
  </si>
  <si>
    <t>17.1</t>
  </si>
  <si>
    <t>17.2</t>
  </si>
  <si>
    <t>17.3</t>
  </si>
  <si>
    <t>17.4</t>
  </si>
  <si>
    <t>17.5</t>
  </si>
  <si>
    <t>17.6</t>
  </si>
  <si>
    <t>17.7</t>
  </si>
  <si>
    <t>18.1</t>
  </si>
  <si>
    <t>18.2</t>
  </si>
  <si>
    <t>18.3</t>
  </si>
  <si>
    <t>18.4</t>
  </si>
  <si>
    <t>19.1</t>
  </si>
  <si>
    <t>19.2</t>
  </si>
  <si>
    <t>19.3</t>
  </si>
  <si>
    <t>19.4</t>
  </si>
  <si>
    <t>19.5</t>
  </si>
  <si>
    <t>19.6</t>
  </si>
  <si>
    <t>19.7</t>
  </si>
  <si>
    <t>20.1</t>
  </si>
  <si>
    <t>20.2</t>
  </si>
  <si>
    <t>20.3</t>
  </si>
  <si>
    <t>20.4</t>
  </si>
  <si>
    <t>20.5</t>
  </si>
  <si>
    <t>20.6</t>
  </si>
  <si>
    <t>20.7</t>
  </si>
  <si>
    <t>20.8</t>
  </si>
  <si>
    <t>20.9</t>
  </si>
  <si>
    <t>20.10</t>
  </si>
  <si>
    <t>21.1</t>
  </si>
  <si>
    <t>21.2</t>
  </si>
  <si>
    <t>21.3</t>
  </si>
  <si>
    <t>21.4</t>
  </si>
  <si>
    <t>21.5</t>
  </si>
  <si>
    <t>21.6</t>
  </si>
  <si>
    <t>21.7</t>
  </si>
  <si>
    <t>21.8</t>
  </si>
  <si>
    <t>21.9</t>
  </si>
  <si>
    <t>21.10</t>
  </si>
  <si>
    <t>21.11</t>
  </si>
  <si>
    <t>21.12</t>
  </si>
  <si>
    <t>21.13</t>
  </si>
  <si>
    <t>21.14</t>
  </si>
  <si>
    <t>21.15</t>
  </si>
  <si>
    <t>Quebra Falha - SPEP EMBALAGEM</t>
  </si>
  <si>
    <t>Esteira de Alimentação</t>
  </si>
  <si>
    <t>Parada não planejada acima de 10 minutos no sistema que guia e posiciona os produtos individualmente na entrada da esteira da flow pack. Falhas podem incluir desalinhamento, problemas de sincronismo com o sensor de presença ou falhas em correias/motores.</t>
  </si>
  <si>
    <t>Sensor de Registro de Filme</t>
  </si>
  <si>
    <t>Parada não planejada acima de 10 minutos no sistema óptico que detecta o ponto de corte da embalagem por marcação no filme. Falhas incluem leitura errada da marca, desalinhamento ou perda de comunicação com o CLP.</t>
  </si>
  <si>
    <t>Desbobinador de Filme</t>
  </si>
  <si>
    <t>Parada não planejada acima de 10 minutos no sistema que controla o desenrolar contínuo do filme da bobina. Envolve falhas no motor, desalinhamento do filme, travamento do rolo ou falha no tensionamento.</t>
  </si>
  <si>
    <t>Formador de Tubo de Filme</t>
  </si>
  <si>
    <t>Parada não planejada acima de 10 minutos na unidade que conforma o filme plástico ao redor do produto, formando o tubo para selagem posterior. Falhas incluem enrugamento do filme, falha de centragem ou acúmulo de resíduo.</t>
  </si>
  <si>
    <t>Impressora Dados Variáveis</t>
  </si>
  <si>
    <t>Parada não planejada acima de 10 minutos no sistema responsável por impressão dos invólucros(Ex, lote, validade). Pode envolver falha de comunicação com o sistema supervisório, falhas no cartucho,  falha pneumáticas, térmicas, eletrônicas na impressora.</t>
  </si>
  <si>
    <t>Resistência de Selagem Longitudinal (ou Vertical)</t>
  </si>
  <si>
    <t>Parada não planejada acima de 10 minutos no sistema que realiza a selagem longitudinal do filme, fechando a embalagem em torno do produto. Essa é uma das principais causas de falha da Flow Pack MFP-150, devido ao desgaste, rompimento ou desregulagem da resistência. Pode envolver problemas no termopar, resistência aberta, controlador de temperatura com falha ou mal contato elétrico.</t>
  </si>
  <si>
    <t>Resistência de Selagem Transversal</t>
  </si>
  <si>
    <t>Parada não planejada acima de 10 minutos no conjunto que executa o corte e selagem da embalagem de forma transversal entre os produtos. Falhas comuns incluem queima da resistência, mau funcionamento do relé de estado sólido, falha em encoder ou desalinhamento do produto na zona de corte.</t>
  </si>
  <si>
    <t>Unidade de Corte (Faca)</t>
  </si>
  <si>
    <t>Parada não planejada acima de 10 minutos no sistema de corte mecânico (geralmente integrado à selagem transversal). Falhas incluem quebra da lâmina, desalinhamento com a resistência ou falha do motor de acionamento.</t>
  </si>
  <si>
    <t xml:space="preserve"> Sensor de Produto / Sincronismo</t>
  </si>
  <si>
    <t>Parada não planejada acima de 10 minutos no sensor que detecta a presença do produto para sincronizar o avanço do filme e a atuação das resistências. Falhas incluem sujeira no sensor, falta de leitura ou atraso no tempo de resposta.</t>
  </si>
  <si>
    <t>Painel Elétrico / IHM</t>
  </si>
  <si>
    <t>Parada não planejada acima de 10 minutos na unidade de controle eletrônico, incluindo a interface homem-máquina (IHM) e o painel de comando. Falhas comuns: travamento de IHM, falha de alimentação, perda de parâmetros ou erro em CLP/controlador de temperatura.</t>
  </si>
  <si>
    <t>22.1</t>
  </si>
  <si>
    <t>22.2</t>
  </si>
  <si>
    <t>22.3</t>
  </si>
  <si>
    <t>22.4</t>
  </si>
  <si>
    <t>22.5</t>
  </si>
  <si>
    <t>22.6</t>
  </si>
  <si>
    <t>22.7</t>
  </si>
  <si>
    <t>22.8</t>
  </si>
  <si>
    <t>Ampolas Caídas ou Tombadas</t>
  </si>
  <si>
    <t>Deformação ou Corte de Ampolas</t>
  </si>
  <si>
    <t>Impressora Rótulo</t>
  </si>
  <si>
    <t>Mensagem Inconforme</t>
  </si>
  <si>
    <t>Parada não planejada acima de 10 minutos na Impressora de Rótulos para ajuste de impressora ou cabeçote de impressão, garantindo a leitura correta de informações de rastreabilidade (ex: lote, validade, GTIN)</t>
  </si>
  <si>
    <t>Rotuladora</t>
  </si>
  <si>
    <t>Rótulo Ausente ou Torto</t>
  </si>
  <si>
    <t>Parada não planejada acima de 10 minutos na Rotuladora para reposicionamento do rolo de etiquetas mal posicionado, tensionamento inadequado, ausência ou falhas de adesivagem. Garantindo que o rótulo esteja colocado na posição correta.</t>
  </si>
  <si>
    <t>Esteira de Encaixotamento</t>
  </si>
  <si>
    <t>Parada não planejada acima de 10 minutos na Esteira de Encaixotamento para remoção de ampolas deformadas ou com cortes em sua estrutura, geralmente ocasionados por impacto ou aprisionamento mecânico.</t>
  </si>
  <si>
    <t>PackForm</t>
  </si>
  <si>
    <t>Desbalanceamento de Fileiras</t>
  </si>
  <si>
    <t>Parada não planejada acima de 10 minutos na PackForm para reposicionamento de frascos fora de posição que impedem a formação de fileiras para encaixotamento.</t>
  </si>
  <si>
    <t>Reposicionamento de Caixas ou Separadores</t>
  </si>
  <si>
    <t>Parada não planejada acima de 10 minutos na PackForm para reposição ou reposicionamento de divisórias ou caixas que se forma inadequadamente ou que estejam em posição incorreta, impedindo o encaixotamento dos frascos.</t>
  </si>
  <si>
    <t>Impressora Caixas</t>
  </si>
  <si>
    <t>Parada não planejada acima de 10 minutos na Impressora de Caixas para ajuste de impressora ou cartucho, garantindo a leitura correta de informações de rastreabilidade (ex: lote, validade e produto)</t>
  </si>
  <si>
    <t>Seladora/3M</t>
  </si>
  <si>
    <t>Ajuste de Rotulagem</t>
  </si>
  <si>
    <t>Parada não planejada acima de 10 minutos na Seladora/3M para correção de enrosco ou tensão incorreta do rolo, impedindo continuidade da rotulagem externa.</t>
  </si>
  <si>
    <t>Reposicionamento de Fita Adesiva</t>
  </si>
  <si>
    <t>Parada não planejada acima de 10 minutos na Seladora/3M para reposicionamento ou troca da fita adesiva que apresentou desalinhamento, fim de rolo ou falha de colagem.</t>
  </si>
  <si>
    <t>Sistema de Monitoramento Online</t>
  </si>
  <si>
    <t>Ajuste de Parâmetros de Leitura e Validação</t>
  </si>
  <si>
    <t>Parada não planejada acima de 10 minutos no Sistema de Monitoramento Online para ajustes de parâmetros de leitura de códigos, validação de rastreabilidade e reconexão com o servidor local em caso de falha de comunicação.</t>
  </si>
  <si>
    <t>Recalibração de Câmeras ou Leituras de Datamatrix</t>
  </si>
  <si>
    <t>Parada não planejada acima de 10 minutos no Sistema de Monitoramento Online para nova calibração de sensores ou câmeras que estejam interpretando de forma incorreta os dados impressos nas embalagens.</t>
  </si>
  <si>
    <t>Ajuste Operacional - SPEP EMBALAGEM</t>
  </si>
  <si>
    <t>23.1</t>
  </si>
  <si>
    <t>24.2</t>
  </si>
  <si>
    <t>24.3</t>
  </si>
  <si>
    <t>24.4</t>
  </si>
  <si>
    <t>24.5</t>
  </si>
  <si>
    <t>24.6</t>
  </si>
  <si>
    <t>24.7</t>
  </si>
  <si>
    <t>24.8</t>
  </si>
  <si>
    <t>24.9</t>
  </si>
  <si>
    <t>24.10</t>
  </si>
  <si>
    <t>24.11</t>
  </si>
  <si>
    <t>Parada não planejada acima de 10 minutos na Esteira de Encaixotamento para reposicionamento ou remoção de ampolas tombadas ou desalinhadas que impedem o fluxo contínuo de produção.</t>
  </si>
  <si>
    <t>Quebra Falha - SPEP FLOW PACK</t>
  </si>
  <si>
    <t>Parada não planejada acima de 10 Minutos para retiradas de frascos e ampolas enroscados ou tombados nas esteiras da envasadora.</t>
  </si>
  <si>
    <t>Parada não planejada acima de 10 minutos no sistema de transporte responsável por conduzir os frascos ou cartelas até o início da área de inspeção e rotulagem. Pode envolver falhas em motores, sensores de presença.</t>
  </si>
  <si>
    <t>Esteira e Cabines de Inspeção Visual</t>
  </si>
  <si>
    <t>Parada não planejada acima de 10 minutos nos módulos responsáveis pela inspeção visual (automática ou manual) dos frascos/cartelas. Inclui falhas em sensores ópticos, câmeras, sistemas de iluminação, além de problemas de sincronismo da esteira.</t>
  </si>
  <si>
    <t>Parada não planejada acima de 10 minutos no sistema responsável por impressão nos rótulos (ex: DataMatrix, lote, validade). Pode envolver falha de comunicação com o sistema supervisório, falhas na cabeça de impressão, falha pneumáticas, térmicas, eletrônicas na impressora.</t>
  </si>
  <si>
    <t>Parada não planejada acima de 10 minutos no módulo que realiza a aplicação do rótulo nos frascos. Envolve falhas em sistemas de tração, motores de passo, eixos de pressão, esteiras internas e braços de aplicação.</t>
  </si>
  <si>
    <t>Parada não planejada acima de 10 minutos no sistema de transporte de frascos/cartelas até a etapa de encaixotamento. Envolve falhas de tração, desalinhamento, sensores, quebra, rompimento ou rasgo na esteira.</t>
  </si>
  <si>
    <t>Parada não planejada acima de 10 minutos no equipamento responsável por formar a caixa de embarque e organizar os frascos/cartelas. Pode incluir falhas em ventosas, braços robóticos  e motores de servo posicionamento.</t>
  </si>
  <si>
    <t>Parada não planejada acima de 10 minutos na impressora dedicada à impressão da caixa de embarque. Envolve falhas de software, travamento de mídia ou mau funcionamento térmico.</t>
  </si>
  <si>
    <t>Parada não planejada acima de 10 minutos no módulo responsável pela selagem da aba superior da caixa utilizando fita adesiva. Falhas comuns envolvem motores de tração e falha pneumática.</t>
  </si>
  <si>
    <t>Parada não planejada acima de 10 minutos no sistema responsável por monitorar e registrar dados de rastreabilidade, inspeção e conformidade do produto. Envolve falhas em hardware (servidor local, interface, cabos de rede) ou software (interface travada, perda de comunicação com equipamentos).</t>
  </si>
  <si>
    <t>23.2</t>
  </si>
  <si>
    <t>23.3</t>
  </si>
  <si>
    <t>23.4</t>
  </si>
  <si>
    <t>23.5</t>
  </si>
  <si>
    <t>23.6</t>
  </si>
  <si>
    <t>23.7</t>
  </si>
  <si>
    <t>23.8</t>
  </si>
  <si>
    <t>23.9</t>
  </si>
  <si>
    <t>23.10</t>
  </si>
  <si>
    <t>24.1</t>
  </si>
  <si>
    <t>25.2</t>
  </si>
  <si>
    <t>25.3</t>
  </si>
  <si>
    <t>25.4</t>
  </si>
  <si>
    <t>25.5</t>
  </si>
  <si>
    <t>25.6</t>
  </si>
  <si>
    <t>25.7</t>
  </si>
  <si>
    <t>25.8</t>
  </si>
  <si>
    <t>25.9</t>
  </si>
  <si>
    <t>25.10</t>
  </si>
  <si>
    <t>25.11</t>
  </si>
  <si>
    <t>Produto em Posição Incorreta</t>
  </si>
  <si>
    <t>Parada não planejada acima de 10 minutos na Esteira de Alimentação para reposicionamento de produtos desalinhados, tombados ou fora da posição de entrada, impossibilitando a formação correta do tubo de filme.</t>
  </si>
  <si>
    <t>Obstrução no Fluxo de Entrada</t>
  </si>
  <si>
    <t>Parada não planejada acima de 10 minutos na Esteira de Alimentação para remoção de produto travado ou preso por atrito ou excesso de carga ou limpeza de frascos estourados, impedindo o avanço contínuo do sistema.</t>
  </si>
  <si>
    <t>Falta de Detecção de Marcação</t>
  </si>
  <si>
    <t>Parada não planejada acima de 10 minutos no Sensor de Registro de Filme para recalibração da leitura de marcação do filme (ponto de corte), devido à falhas no contraste, má impressão ou perda de sincronismo com o desbobinador.</t>
  </si>
  <si>
    <t>Desalinhamento do Filme</t>
  </si>
  <si>
    <t>Parada não planejada acima de 10 minutos no Desbobinador de Filme para ajuste de tensionamento ou alinhamento da bobina, evitando enrugamento, quebra do filme ou distorções na selagem.</t>
  </si>
  <si>
    <t>Formação Irregular do Tubo</t>
  </si>
  <si>
    <t>Parada não planejada acima de 10 minutos no Formador de Tubo de Filme para ajuste de guias, suportes ou peças formadoras devido à formação assimétrica ou dobramento incorreto do filme.</t>
  </si>
  <si>
    <t>Ajuste de Impressão de Identificação de Invólucros</t>
  </si>
  <si>
    <t>Parada não planejada acima de 10 minutos na Impressora de Invólucro para ajuste de impressora ou cartucho, garantindo a leitura correta de informações de rastreabilidade (ex: lote, validade).</t>
  </si>
  <si>
    <t>Selagem Inconforme</t>
  </si>
  <si>
    <t>Parada não planejada acima de 10 minutos na Resistência de Selagem Longitudinal para ajuste de temperatura, pressão ou alinhamento dos roletes seladores, frente a falhas de vedação (falta de fusão, bolhas, queima ou falha de aderência).</t>
  </si>
  <si>
    <t>Parada não planejada acima de 10 minutos na Resistência de Selagem Transversal para ajuste de tempo, pressão ou temperatura devido à selagens parciais, queimadas ou com vincos, que comprometem o fechamento das extremidades do invólucro.</t>
  </si>
  <si>
    <t>Erro de Posicionamento da Faca ou Corte Irregular</t>
  </si>
  <si>
    <t>Parada não planejada acima de 10 minutos na Unidade de Corte para reposicionamento ou sincronização da lâmina de corte em relação à marca de registro. Pode envolver ajuste do tempo de corte ou da distância entre embalagens</t>
  </si>
  <si>
    <t>Falsa Leitura ou Ausência de Detecção</t>
  </si>
  <si>
    <t>Parada não planejada acima de 10 minutos no Sensor de Produto / Sincronismo para correção de leitura falha que ocasiona ciclos vazios, corte sem produto ou sobreposição de invólucros.</t>
  </si>
  <si>
    <t>Reconfiguração de Parâmetros de Ciclo</t>
  </si>
  <si>
    <t>Parada não planejada acima de 10 minutos no Painel Elétrico / IHM para ajuste fino de velocidade, tempo de selagem, sincronismo entre esteiras e resistência, após variações no tipo de embalagem, espessura de filme ou mudança de produto.</t>
  </si>
  <si>
    <t>26.1</t>
  </si>
  <si>
    <t>26.2</t>
  </si>
  <si>
    <t>26.3</t>
  </si>
  <si>
    <t>26.4</t>
  </si>
  <si>
    <t>26.5</t>
  </si>
  <si>
    <t>26.6</t>
  </si>
  <si>
    <t>26.7</t>
  </si>
  <si>
    <t>Ajuste Operacional - SPEP FLOW PACK</t>
  </si>
  <si>
    <t>Quebra Falha - SPPV EMBALAGEM</t>
  </si>
  <si>
    <t>IHM / CPU</t>
  </si>
  <si>
    <t>Parada não planejada acima de 10 minutos na interface homem-máquina e unidade central de controle da máquina. Envolve falhas de software, travamento de tela, falha de PLC, perda de comunicação com módulos ou reinicialização forçada.</t>
  </si>
  <si>
    <t>Estrela de Entrada</t>
  </si>
  <si>
    <t>Parada não planejada acima de 10 minutos no mecanismo que posiciona as ampolas individualmente no carrossel rotativo. Pode incluir travamento, falhas mecânicas ou de sincronização com o sistema de alimentação.</t>
  </si>
  <si>
    <t>Carrossel/Mandril</t>
  </si>
  <si>
    <t>Parada não planejada acima de 10 minutos no módulo rotativo central onde ocorrem inspeções múltiplas. Problemas comuns: perda de vácuo nos mandris, falha de motor principal, desalinhamento ou quebra de garras.</t>
  </si>
  <si>
    <t>Sensores/Câmeras</t>
  </si>
  <si>
    <t>Parada não planejada acima de 10 minutos nos sistemas de captura de imagem e sensores ópticos que realizam a inspeção automatizada de partículas, trincas ou nível. Inclui falhas de calibração, sujeira em lentes, desconexão de cabos ou erro no reconhecimento.</t>
  </si>
  <si>
    <t>Conjunto de Helicoildal</t>
  </si>
  <si>
    <t>Parada não planejada acima de 10 minutos no sistema que realiza o espaçamento e controle de entrada de ampolas. Falhas comuns: quebra de eixo helicoidal, travamento por frasco desalinhado ou falha de motor de tração.</t>
  </si>
  <si>
    <t>Estrela de Saída</t>
  </si>
  <si>
    <t>Parada não planejada acima de 10 minutos na unidade que remove as ampolas do carrossel e as transfere para esteiras de saída. Pode haver falhas de indexação, sensores ou travamento do sistema de rejeição.</t>
  </si>
  <si>
    <t>27.1</t>
  </si>
  <si>
    <t>27.2</t>
  </si>
  <si>
    <t>27.3</t>
  </si>
  <si>
    <t>27.4</t>
  </si>
  <si>
    <t>27.5</t>
  </si>
  <si>
    <t>Ajuste Operacional - SPPV EMBALAGEM</t>
  </si>
  <si>
    <t>Inconformidade Relatório de Ciclo/Lote</t>
  </si>
  <si>
    <t>Parada não planejada acima de 10 Minutos na IHM / CPU para realização de ajustes operacionais decorrentes de falhas na geração ou impressão dos relatórios obrigatórios ao final de cada ciclo e lote. Estes relatórios fazem parte integrante da documentação do lote e são essenciais para a rastreabilidade, rastreamento de desvios e conformidade regulatória. A falha pode envolver problemas de comunicação entre o software supervisório e a impressora, dados inconsistentes, travamento do sistema ou erro de digitação.</t>
  </si>
  <si>
    <t>Limpeza de Ampolas Sujas</t>
  </si>
  <si>
    <t>Parada não planejada acima de 10 Minutos antes de abastecer as ampolas na Estrela de Entrada para realização de limpeza externa de ampolas com presença de sujeiras, manchas, resíduos ou marcas impróprias detectadas visualmente antes da inserção no equipamento.</t>
  </si>
  <si>
    <t>Ampola Desalinhada ou Presa</t>
  </si>
  <si>
    <t>Parada não planejada acima de 10 Minutos nos módulos de sensores/câmeras para correção de erros de leitura de impressão, ausência de dados variáveis, falhas ópticas ou excesso de rejeição injustificada. Pode incluir ajustes de foco, contraste, limpeza das lentes ou calibração de software.</t>
  </si>
  <si>
    <t>28.1</t>
  </si>
  <si>
    <t>28.2</t>
  </si>
  <si>
    <t>28.3</t>
  </si>
  <si>
    <t>28.4</t>
  </si>
  <si>
    <t>28.5</t>
  </si>
  <si>
    <t>28.6</t>
  </si>
  <si>
    <t>28.7</t>
  </si>
  <si>
    <t>28.8</t>
  </si>
  <si>
    <t>Parada não planejada acima de 10 Minutos  para remoção de ampola quebrada em qualquer etapa do processo de inspeção eletrônica</t>
  </si>
  <si>
    <t>Parada não planejada acima de 10 Minutos na Estrela de Entrada, no Carrossel/Mandril ou no Conjunto de Helicoidal para remoção de ampolas desalinhadas ou mal posicionadas, que podem comprometer a inspeção ou causar travamento mecânico do carrossel.</t>
  </si>
  <si>
    <t>Falsa Rejeição ou Falha de Inspeção</t>
  </si>
  <si>
    <t>Quebra Falha - LIQ ENCARTUCHADEIRA</t>
  </si>
  <si>
    <t>Parada não planejada acima de 10 minutos no sistema que conduz os frascos até o módulo de inserção. Pode haver falha por desalinhamento, travamento por frasco com formato irregular, quebra de garras ou falha de sincronismo.</t>
  </si>
  <si>
    <t>Alimentador de Cartuchos</t>
  </si>
  <si>
    <t>Parada não planejada acima de 10 minutos no magazine que armazena e libera os cartuchos planos para o processo. Falhas frequentes: atolamento, ventosas danificadas, cartucho colado ou erro de vácuo.</t>
  </si>
  <si>
    <t>Estação de Abertura de Cartuchos</t>
  </si>
  <si>
    <t>Parada não planejada acima de 10 minutos no sistema que forma a caixa a partir do cartucho plano. Pode envolver falha no tempo de abertura, travamento mecânico, desalinhamento ou cartucho fora de especificação.</t>
  </si>
  <si>
    <t>Estação de Inserção de Frascos</t>
  </si>
  <si>
    <t>Parada não planejada acima de 10 minutos na unidade de inserção que empurra os frascos para dentro do cartucho. Problemas comuns: empurrador desalinhado, garras danificadas, rejeição por obstrução ou presença incorreta do frasco.</t>
  </si>
  <si>
    <t>Estação de Bulas</t>
  </si>
  <si>
    <t>Parada não planejada acima de 10 minutos no sistema que insere a bula dobrada no cartucho. Pode apresentar falha por papel enroscado, ausência no magazine, ventosa com vácuo insuficiente ou tempo incorreto de inserção.</t>
  </si>
  <si>
    <t xml:space="preserve"> Estação de Fechamento de Cartucho</t>
  </si>
  <si>
    <t>Parada não planejada acima de 10 minutos no mecanismo que dobra e sela as abas do cartucho. Envolve falhas mecânicas nas dobradeiras, ausência de cola (caso aplicável), desalinhamento ou pressão insuficiente na aba superior.</t>
  </si>
  <si>
    <t>Check Weight (Verificador de Peso)</t>
  </si>
  <si>
    <t>Parada não planejada acima de 10 minutos no sistema de controle de peso automático que verifica se o cartucho contém todos os componentes (frascos e bula). Falhas incluem célula de carga danificada, erro de leitura ou descalibração.</t>
  </si>
  <si>
    <t>29.1</t>
  </si>
  <si>
    <t>29.2</t>
  </si>
  <si>
    <t>29.3</t>
  </si>
  <si>
    <t>29.4</t>
  </si>
  <si>
    <t>29.5</t>
  </si>
  <si>
    <t>29.6</t>
  </si>
  <si>
    <t>Ajuste Operacional - LIQ ENCARTUCHADEIRA</t>
  </si>
  <si>
    <t>Frascos Caídos ou Tombados</t>
  </si>
  <si>
    <t>Cartucho Deformado</t>
  </si>
  <si>
    <t>Desalinhamento ou Empilhamento de Frascos</t>
  </si>
  <si>
    <t>Bula Ausente ou Dobrada Incorretamente</t>
  </si>
  <si>
    <t>Inconformidade nos Dados Variáveis do Cartucho</t>
  </si>
  <si>
    <t>Rejeição Indevida ou Inconsistência de Peso</t>
  </si>
  <si>
    <t>Parada não planejada acima de 10 minutos na Esteira de Alimentação para reposicionamento ou remoção de frascos tombadas ou desalinhadas que impedem o fluxo contínuo até o encartuchamento.</t>
  </si>
  <si>
    <t>Parada não planejada acima de 10 minutos na etapa de inserção por falha no posicionamento do frasco ou empilhamento duplo. Pode requerer ajuste nos braços de inserção, sensores ou cadência da linha.</t>
  </si>
  <si>
    <t>Parada não planejada acima de 10 minutos na Estação de Bulas para corrigir falhas na inserção da bula no cartucho, como ausência, má posição ou dobras irregulares. Pode envolver ajustes na alimentadora, ventosas de transferência ou esteiras de carregamento.</t>
  </si>
  <si>
    <t>Parada não planejada acima de 10 minutos para correção de inconformidades nas informações variáveis impressas no cartucho (ex: número de lote, data de fabricação, validade). Pode envolver falhas no equipamento de marcação, desalinhamento da impressão. Necessita ajuste ou reimpressão para garantir a rastreabilidade e conformidade documental.</t>
  </si>
  <si>
    <t>Parada não planejada acima de 10 minutos para ajuste no sistema de verificação de peso dos cartuchos, devido à rejeição incorreta ou variações fora da faixa esperada. Exige calibração do sensor de carga ou análise de estabilidade do transportador</t>
  </si>
  <si>
    <t xml:space="preserve"> Parada não planejada acima de 10 minutos para ajustes devido Cartucho Deformado, em qualquer etapa do processo de encartuchamento:  Alimentador de Cartuchos ou Estação de Abertura ou Fechamento de Cartuchos,</t>
  </si>
  <si>
    <t>Quadro de Dispositivos 1</t>
  </si>
  <si>
    <t>21.16</t>
  </si>
  <si>
    <t xml:space="preserve">Punção Externa </t>
  </si>
  <si>
    <t>Parada não planejada acima de 10 Minutos na Punção Externas das BP460 e BP321, reponsável pelo 
destacamento da rebarba e divisão das cartelas envasadas. Envolve: Punção Externa e Destacador</t>
  </si>
  <si>
    <t>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</si>
</sst>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h:mm;@"/>
  </numFmts>
  <fonts count="10" x14ac:knownFonts="1">
    <font>
      <sz val="11"/>
      <color theme="1"/>
      <name val="Calibri"/>
      <family val="2"/>
      <scheme val="minor"/>
    </font>
    <font>
      <sz val="11"/>
      <color theme="1"/>
      <name val="Book Antiqua"/>
      <family val="1"/>
    </font>
    <font>
      <sz val="8"/>
      <name val="Calibri"/>
      <family val="2"/>
      <scheme val="minor"/>
    </font>
    <font>
      <sz val="11"/>
      <color theme="1"/>
      <name val="Calibri"/>
      <family val="2"/>
      <scheme val="minor"/>
    </font>
    <font>
      <b/>
      <sz val="11"/>
      <color theme="0"/>
      <name val="Book Antiqua"/>
      <family val="1"/>
    </font>
    <font>
      <sz val="12"/>
      <color theme="1"/>
      <name val="Book Antiqua"/>
      <family val="1"/>
    </font>
    <font>
      <b/>
      <sz val="22"/>
      <color rgb="FF002060"/>
      <name val="Book Antiqua"/>
      <family val="1"/>
    </font>
    <font>
      <sz val="12"/>
      <color theme="0"/>
      <name val="Book Antiqua"/>
      <family val="1"/>
    </font>
    <font>
      <sz val="11"/>
      <color rgb="FFFF0000"/>
      <name val="Calibri"/>
      <family val="2"/>
      <scheme val="minor"/>
    </font>
    <font>
      <sz val="11"/>
      <color rgb="FFFF0000"/>
      <name val="Book Antiqua"/>
      <family val="1"/>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s>
  <cellStyleXfs count="2">
    <xf numFmtId="0" fontId="0" fillId="0" borderId="0"/>
    <xf numFmtId="9" fontId="3" fillId="0" borderId="0" applyFont="0" applyFill="0" applyBorder="0" applyAlignment="0" applyProtection="0"/>
  </cellStyleXfs>
  <cellXfs count="10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centerContinuous"/>
    </xf>
    <xf numFmtId="0" fontId="1" fillId="3" borderId="1" xfId="0" applyFont="1" applyFill="1" applyBorder="1" applyAlignment="1">
      <alignment horizontal="center"/>
    </xf>
    <xf numFmtId="0" fontId="1" fillId="0" borderId="2" xfId="0" applyFont="1" applyBorder="1" applyAlignment="1">
      <alignment horizontal="center"/>
    </xf>
    <xf numFmtId="3" fontId="1" fillId="0" borderId="2" xfId="1" applyNumberFormat="1" applyFont="1" applyBorder="1" applyAlignment="1">
      <alignment horizontal="center"/>
    </xf>
    <xf numFmtId="164" fontId="1" fillId="0" borderId="2" xfId="1" applyNumberFormat="1"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64" fontId="1" fillId="0" borderId="4" xfId="1" applyNumberFormat="1" applyFont="1" applyBorder="1" applyAlignment="1">
      <alignment horizontal="center"/>
    </xf>
    <xf numFmtId="164" fontId="1" fillId="0" borderId="3" xfId="1" applyNumberFormat="1" applyFont="1" applyBorder="1" applyAlignment="1">
      <alignment horizontal="center"/>
    </xf>
    <xf numFmtId="0" fontId="1" fillId="0" borderId="6" xfId="0" applyFont="1" applyFill="1" applyBorder="1" applyAlignment="1">
      <alignment horizontal="left"/>
    </xf>
    <xf numFmtId="49" fontId="1" fillId="2" borderId="0" xfId="0" applyNumberFormat="1" applyFont="1" applyFill="1" applyAlignment="1">
      <alignment horizontal="centerContinuous"/>
    </xf>
    <xf numFmtId="49" fontId="1" fillId="0" borderId="0" xfId="0" applyNumberFormat="1" applyFont="1" applyAlignment="1">
      <alignment horizontal="center"/>
    </xf>
    <xf numFmtId="49" fontId="1" fillId="3" borderId="1" xfId="0" applyNumberFormat="1" applyFont="1" applyFill="1" applyBorder="1" applyAlignment="1">
      <alignment horizontal="center"/>
    </xf>
    <xf numFmtId="49" fontId="1" fillId="0" borderId="4" xfId="1" applyNumberFormat="1" applyFont="1" applyBorder="1" applyAlignment="1">
      <alignment horizontal="center"/>
    </xf>
    <xf numFmtId="49" fontId="1" fillId="0" borderId="2" xfId="1" applyNumberFormat="1" applyFont="1" applyBorder="1" applyAlignment="1">
      <alignment horizontal="center"/>
    </xf>
    <xf numFmtId="49" fontId="1" fillId="0" borderId="3" xfId="1" applyNumberFormat="1" applyFont="1" applyBorder="1" applyAlignment="1">
      <alignment horizontal="center"/>
    </xf>
    <xf numFmtId="49" fontId="0" fillId="0" borderId="0" xfId="0" applyNumberFormat="1"/>
    <xf numFmtId="0" fontId="1" fillId="0" borderId="5" xfId="0" applyFont="1" applyFill="1" applyBorder="1" applyAlignment="1">
      <alignment horizontal="left"/>
    </xf>
    <xf numFmtId="0" fontId="0" fillId="0" borderId="0" xfId="0" applyAlignment="1">
      <alignment horizontal="left"/>
    </xf>
    <xf numFmtId="3" fontId="1" fillId="0" borderId="4" xfId="1" applyNumberFormat="1" applyFont="1" applyBorder="1" applyAlignment="1">
      <alignment horizontal="center"/>
    </xf>
    <xf numFmtId="0" fontId="5" fillId="3" borderId="1" xfId="0" applyFont="1" applyFill="1" applyBorder="1" applyAlignment="1">
      <alignment horizontal="center" vertical="center"/>
    </xf>
    <xf numFmtId="0" fontId="0" fillId="0" borderId="0" xfId="0" applyBorder="1"/>
    <xf numFmtId="0" fontId="0" fillId="0" borderId="1" xfId="0" applyBorder="1"/>
    <xf numFmtId="164" fontId="5" fillId="3" borderId="1" xfId="1" applyNumberFormat="1" applyFont="1" applyFill="1" applyBorder="1" applyAlignment="1">
      <alignment horizontal="center" vertical="center" wrapText="1"/>
    </xf>
    <xf numFmtId="0" fontId="5" fillId="0" borderId="0" xfId="0" applyFont="1" applyAlignment="1">
      <alignment vertical="center"/>
    </xf>
    <xf numFmtId="0" fontId="5" fillId="0" borderId="0" xfId="0" applyFont="1" applyFill="1" applyAlignment="1">
      <alignment vertical="center"/>
    </xf>
    <xf numFmtId="0" fontId="1" fillId="0" borderId="0" xfId="0" applyFont="1" applyFill="1"/>
    <xf numFmtId="0" fontId="1" fillId="0" borderId="0" xfId="0" applyFont="1" applyAlignment="1">
      <alignment vertical="center"/>
    </xf>
    <xf numFmtId="0" fontId="1" fillId="0" borderId="0" xfId="0" applyFont="1" applyAlignment="1">
      <alignment wrapText="1"/>
    </xf>
    <xf numFmtId="0" fontId="0" fillId="0" borderId="0" xfId="0" applyAlignment="1">
      <alignment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164" fontId="5" fillId="4" borderId="1" xfId="1" applyNumberFormat="1" applyFont="1" applyFill="1" applyBorder="1" applyAlignment="1">
      <alignment horizontal="center" vertical="center" wrapText="1"/>
    </xf>
    <xf numFmtId="0" fontId="1" fillId="5" borderId="7" xfId="0" applyFont="1" applyFill="1" applyBorder="1" applyAlignment="1">
      <alignment horizontal="center"/>
    </xf>
    <xf numFmtId="16" fontId="1" fillId="5" borderId="7" xfId="0" applyNumberFormat="1" applyFont="1" applyFill="1" applyBorder="1" applyAlignment="1">
      <alignment horizontal="center"/>
    </xf>
    <xf numFmtId="164" fontId="1" fillId="5" borderId="7" xfId="0" applyNumberFormat="1" applyFont="1" applyFill="1" applyBorder="1" applyAlignment="1">
      <alignment horizontal="center"/>
    </xf>
    <xf numFmtId="165" fontId="1" fillId="5" borderId="7" xfId="0" applyNumberFormat="1" applyFont="1" applyFill="1" applyBorder="1" applyAlignment="1">
      <alignment horizontal="center"/>
    </xf>
    <xf numFmtId="0" fontId="1" fillId="0" borderId="7" xfId="0" applyFont="1" applyBorder="1" applyAlignment="1">
      <alignment horizontal="center"/>
    </xf>
    <xf numFmtId="16" fontId="1" fillId="0" borderId="7" xfId="0" applyNumberFormat="1" applyFont="1" applyBorder="1" applyAlignment="1">
      <alignment horizontal="center"/>
    </xf>
    <xf numFmtId="164" fontId="1" fillId="0" borderId="7" xfId="0" applyNumberFormat="1" applyFont="1" applyBorder="1" applyAlignment="1">
      <alignment horizontal="center"/>
    </xf>
    <xf numFmtId="165" fontId="1" fillId="0" borderId="7" xfId="0" applyNumberFormat="1" applyFont="1" applyBorder="1" applyAlignment="1">
      <alignment horizontal="center"/>
    </xf>
    <xf numFmtId="1" fontId="1" fillId="5" borderId="7" xfId="0" applyNumberFormat="1" applyFont="1" applyFill="1" applyBorder="1" applyAlignment="1">
      <alignment horizontal="center"/>
    </xf>
    <xf numFmtId="1" fontId="1" fillId="0" borderId="7" xfId="0" applyNumberFormat="1" applyFont="1" applyBorder="1" applyAlignment="1">
      <alignment horizontal="center"/>
    </xf>
    <xf numFmtId="1" fontId="0" fillId="0" borderId="0" xfId="0" applyNumberFormat="1"/>
    <xf numFmtId="49" fontId="1" fillId="5" borderId="7" xfId="0" applyNumberFormat="1" applyFont="1" applyFill="1" applyBorder="1" applyAlignment="1">
      <alignment horizontal="center"/>
    </xf>
    <xf numFmtId="49" fontId="1" fillId="0" borderId="7" xfId="0" applyNumberFormat="1" applyFont="1" applyBorder="1" applyAlignment="1">
      <alignment horizontal="center"/>
    </xf>
    <xf numFmtId="0" fontId="4" fillId="2" borderId="7" xfId="0"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16" fontId="4" fillId="2" borderId="7" xfId="0" applyNumberFormat="1" applyFont="1" applyFill="1" applyBorder="1" applyAlignment="1">
      <alignment horizontal="center" vertical="center" wrapText="1"/>
    </xf>
    <xf numFmtId="1" fontId="4" fillId="2" borderId="7" xfId="0" applyNumberFormat="1" applyFont="1" applyFill="1" applyBorder="1" applyAlignment="1">
      <alignment horizontal="center" vertical="center" wrapText="1"/>
    </xf>
    <xf numFmtId="165" fontId="4" fillId="2" borderId="7" xfId="0" applyNumberFormat="1" applyFont="1" applyFill="1" applyBorder="1" applyAlignment="1">
      <alignment horizontal="center" vertical="center" wrapText="1"/>
    </xf>
    <xf numFmtId="164" fontId="4" fillId="2" borderId="7" xfId="0" applyNumberFormat="1" applyFont="1" applyFill="1" applyBorder="1" applyAlignment="1">
      <alignment horizontal="center" vertical="center" wrapText="1"/>
    </xf>
    <xf numFmtId="3" fontId="1" fillId="5" borderId="7" xfId="0" applyNumberFormat="1" applyFont="1" applyFill="1" applyBorder="1" applyAlignment="1">
      <alignment horizontal="center"/>
    </xf>
    <xf numFmtId="3" fontId="4" fillId="2" borderId="7" xfId="0" applyNumberFormat="1" applyFont="1" applyFill="1" applyBorder="1" applyAlignment="1">
      <alignment horizontal="center" vertical="center" wrapText="1"/>
    </xf>
    <xf numFmtId="3" fontId="1" fillId="0" borderId="7" xfId="0" applyNumberFormat="1" applyFont="1" applyBorder="1" applyAlignment="1">
      <alignment horizontal="center"/>
    </xf>
    <xf numFmtId="3" fontId="0" fillId="0" borderId="0" xfId="0" applyNumberFormat="1"/>
    <xf numFmtId="0" fontId="9" fillId="0" borderId="7" xfId="0" applyFont="1" applyBorder="1" applyAlignment="1">
      <alignment horizontal="center"/>
    </xf>
    <xf numFmtId="49" fontId="9" fillId="0" borderId="7" xfId="0" applyNumberFormat="1" applyFont="1" applyBorder="1" applyAlignment="1">
      <alignment horizontal="center"/>
    </xf>
    <xf numFmtId="3" fontId="9" fillId="0" borderId="7" xfId="0" applyNumberFormat="1" applyFont="1" applyBorder="1" applyAlignment="1">
      <alignment horizontal="center"/>
    </xf>
    <xf numFmtId="16" fontId="9" fillId="0" borderId="7" xfId="0" applyNumberFormat="1" applyFont="1" applyBorder="1" applyAlignment="1">
      <alignment horizontal="center"/>
    </xf>
    <xf numFmtId="1" fontId="9" fillId="0" borderId="7" xfId="0" applyNumberFormat="1" applyFont="1" applyBorder="1" applyAlignment="1">
      <alignment horizontal="center"/>
    </xf>
    <xf numFmtId="164" fontId="9" fillId="0" borderId="7" xfId="0" applyNumberFormat="1" applyFont="1" applyBorder="1" applyAlignment="1">
      <alignment horizontal="center"/>
    </xf>
    <xf numFmtId="165" fontId="9" fillId="0" borderId="7" xfId="0" applyNumberFormat="1" applyFont="1" applyBorder="1" applyAlignment="1">
      <alignment horizontal="center"/>
    </xf>
    <xf numFmtId="0" fontId="8" fillId="0" borderId="0" xfId="0" applyFont="1"/>
    <xf numFmtId="0" fontId="5" fillId="4" borderId="1" xfId="0" applyFont="1" applyFill="1" applyBorder="1" applyAlignment="1">
      <alignment horizontal="center" vertical="center"/>
    </xf>
    <xf numFmtId="164" fontId="5" fillId="0" borderId="1" xfId="1" applyNumberFormat="1"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xf>
    <xf numFmtId="164" fontId="5" fillId="0" borderId="1" xfId="1"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horizontal="center" vertic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0" fontId="6"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6" fillId="0" borderId="0" xfId="0" applyFont="1" applyAlignment="1">
      <alignment vertical="center"/>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164" fontId="5" fillId="0" borderId="8" xfId="1" applyNumberFormat="1"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164" fontId="5" fillId="0" borderId="2" xfId="1" applyNumberFormat="1" applyFont="1" applyFill="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164" fontId="5" fillId="0" borderId="9" xfId="1" applyNumberFormat="1" applyFont="1" applyFill="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164" fontId="5" fillId="0" borderId="3" xfId="1" applyNumberFormat="1" applyFont="1" applyFill="1" applyBorder="1" applyAlignment="1">
      <alignment horizontal="center" vertical="center" wrapText="1"/>
    </xf>
    <xf numFmtId="0" fontId="5" fillId="0" borderId="4" xfId="0" applyFont="1" applyBorder="1" applyAlignment="1">
      <alignment horizontal="center" vertical="center" wrapText="1"/>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9C08-DC08-4C93-8620-4D5EC3498141}">
  <dimension ref="B3:J226"/>
  <sheetViews>
    <sheetView showGridLines="0" tabSelected="1" zoomScale="55" zoomScaleNormal="55" workbookViewId="0">
      <pane xSplit="3" ySplit="3" topLeftCell="D120" activePane="bottomRight" state="frozen"/>
      <selection pane="topRight" activeCell="C1" sqref="C1"/>
      <selection pane="bottomLeft" activeCell="A4" sqref="A4"/>
      <selection pane="bottomRight" activeCell="D224" sqref="D224"/>
    </sheetView>
  </sheetViews>
  <sheetFormatPr defaultColWidth="9.140625" defaultRowHeight="16.5" x14ac:dyDescent="0.3"/>
  <cols>
    <col min="1" max="1" width="9.140625" style="1"/>
    <col min="2" max="3" width="23" style="2" customWidth="1"/>
    <col min="4" max="4" width="41.7109375" style="2" customWidth="1"/>
    <col min="5" max="5" width="24.28515625" style="2" customWidth="1"/>
    <col min="6" max="6" width="29.140625" style="83" customWidth="1"/>
    <col min="7" max="7" width="30.28515625" style="83" customWidth="1"/>
    <col min="8" max="8" width="109.140625" style="33" customWidth="1"/>
    <col min="9" max="9" width="9.140625" style="1"/>
    <col min="10" max="10" width="32" style="1" bestFit="1" customWidth="1"/>
    <col min="11" max="16384" width="9.140625" style="1"/>
  </cols>
  <sheetData>
    <row r="3" spans="2:8" customFormat="1" ht="43.5" customHeight="1" x14ac:dyDescent="0.25">
      <c r="B3" s="35" t="s">
        <v>9</v>
      </c>
      <c r="C3" s="35" t="s">
        <v>11</v>
      </c>
      <c r="D3" s="35" t="s">
        <v>10</v>
      </c>
      <c r="E3" s="35" t="s">
        <v>11</v>
      </c>
      <c r="F3" s="36" t="s">
        <v>12</v>
      </c>
      <c r="G3" s="36" t="s">
        <v>165</v>
      </c>
      <c r="H3" s="36" t="s">
        <v>169</v>
      </c>
    </row>
    <row r="4" spans="2:8" s="29" customFormat="1" ht="75" customHeight="1" x14ac:dyDescent="0.25">
      <c r="B4" s="71" t="s">
        <v>391</v>
      </c>
      <c r="C4" s="71" t="s">
        <v>245</v>
      </c>
      <c r="D4" s="71" t="s">
        <v>24</v>
      </c>
      <c r="E4" s="71" t="s">
        <v>16</v>
      </c>
      <c r="F4" s="38" t="s">
        <v>223</v>
      </c>
      <c r="G4" s="39" t="s">
        <v>223</v>
      </c>
      <c r="H4" s="39" t="s">
        <v>246</v>
      </c>
    </row>
    <row r="5" spans="2:8" s="29" customFormat="1" ht="75" customHeight="1" x14ac:dyDescent="0.25">
      <c r="B5" s="71" t="s">
        <v>392</v>
      </c>
      <c r="C5" s="71" t="s">
        <v>245</v>
      </c>
      <c r="D5" s="71" t="s">
        <v>24</v>
      </c>
      <c r="E5" s="71" t="s">
        <v>16</v>
      </c>
      <c r="F5" s="38" t="s">
        <v>223</v>
      </c>
      <c r="G5" s="39" t="s">
        <v>250</v>
      </c>
      <c r="H5" s="39" t="s">
        <v>249</v>
      </c>
    </row>
    <row r="6" spans="2:8" s="29" customFormat="1" ht="75" customHeight="1" x14ac:dyDescent="0.25">
      <c r="B6" s="71" t="s">
        <v>393</v>
      </c>
      <c r="C6" s="71" t="s">
        <v>245</v>
      </c>
      <c r="D6" s="71" t="s">
        <v>24</v>
      </c>
      <c r="E6" s="71" t="s">
        <v>25</v>
      </c>
      <c r="F6" s="38" t="s">
        <v>223</v>
      </c>
      <c r="G6" s="39" t="s">
        <v>0</v>
      </c>
      <c r="H6" s="39" t="s">
        <v>247</v>
      </c>
    </row>
    <row r="7" spans="2:8" s="29" customFormat="1" ht="75" customHeight="1" x14ac:dyDescent="0.25">
      <c r="B7" s="25" t="s">
        <v>394</v>
      </c>
      <c r="C7" s="25" t="s">
        <v>225</v>
      </c>
      <c r="D7" s="25" t="s">
        <v>16</v>
      </c>
      <c r="E7" s="25" t="s">
        <v>16</v>
      </c>
      <c r="F7" s="37" t="s">
        <v>248</v>
      </c>
      <c r="G7" s="28" t="s">
        <v>248</v>
      </c>
      <c r="H7" s="28" t="s">
        <v>261</v>
      </c>
    </row>
    <row r="8" spans="2:8" s="29" customFormat="1" ht="75" customHeight="1" x14ac:dyDescent="0.25">
      <c r="B8" s="75" t="s">
        <v>395</v>
      </c>
      <c r="C8" s="75" t="s">
        <v>225</v>
      </c>
      <c r="D8" s="75" t="s">
        <v>16</v>
      </c>
      <c r="E8" s="75" t="s">
        <v>16</v>
      </c>
      <c r="F8" s="77" t="s">
        <v>1</v>
      </c>
      <c r="G8" s="76" t="s">
        <v>252</v>
      </c>
      <c r="H8" s="76" t="s">
        <v>254</v>
      </c>
    </row>
    <row r="9" spans="2:8" s="29" customFormat="1" ht="75" customHeight="1" x14ac:dyDescent="0.25">
      <c r="B9" s="75" t="s">
        <v>396</v>
      </c>
      <c r="C9" s="75" t="s">
        <v>225</v>
      </c>
      <c r="D9" s="75" t="s">
        <v>16</v>
      </c>
      <c r="E9" s="75" t="s">
        <v>16</v>
      </c>
      <c r="F9" s="77" t="s">
        <v>1</v>
      </c>
      <c r="G9" s="76" t="s">
        <v>251</v>
      </c>
      <c r="H9" s="76" t="s">
        <v>255</v>
      </c>
    </row>
    <row r="10" spans="2:8" s="29" customFormat="1" ht="75" customHeight="1" x14ac:dyDescent="0.25">
      <c r="B10" s="25" t="s">
        <v>397</v>
      </c>
      <c r="C10" s="25" t="s">
        <v>225</v>
      </c>
      <c r="D10" s="25" t="s">
        <v>16</v>
      </c>
      <c r="E10" s="25" t="s">
        <v>16</v>
      </c>
      <c r="F10" s="37" t="s">
        <v>26</v>
      </c>
      <c r="G10" s="28" t="s">
        <v>21</v>
      </c>
      <c r="H10" s="28" t="s">
        <v>256</v>
      </c>
    </row>
    <row r="11" spans="2:8" s="29" customFormat="1" ht="75" customHeight="1" x14ac:dyDescent="0.25">
      <c r="B11" s="25" t="s">
        <v>398</v>
      </c>
      <c r="C11" s="25" t="s">
        <v>225</v>
      </c>
      <c r="D11" s="25" t="s">
        <v>16</v>
      </c>
      <c r="E11" s="25" t="s">
        <v>16</v>
      </c>
      <c r="F11" s="37" t="s">
        <v>26</v>
      </c>
      <c r="G11" s="28" t="s">
        <v>22</v>
      </c>
      <c r="H11" s="28" t="s">
        <v>257</v>
      </c>
    </row>
    <row r="12" spans="2:8" s="29" customFormat="1" ht="75" customHeight="1" x14ac:dyDescent="0.25">
      <c r="B12" s="25" t="s">
        <v>399</v>
      </c>
      <c r="C12" s="25" t="s">
        <v>225</v>
      </c>
      <c r="D12" s="25" t="s">
        <v>16</v>
      </c>
      <c r="E12" s="25" t="s">
        <v>16</v>
      </c>
      <c r="F12" s="37" t="s">
        <v>26</v>
      </c>
      <c r="G12" s="28" t="s">
        <v>253</v>
      </c>
      <c r="H12" s="28" t="s">
        <v>258</v>
      </c>
    </row>
    <row r="13" spans="2:8" s="29" customFormat="1" ht="75" customHeight="1" x14ac:dyDescent="0.25">
      <c r="B13" s="25" t="s">
        <v>400</v>
      </c>
      <c r="C13" s="25" t="s">
        <v>225</v>
      </c>
      <c r="D13" s="25" t="s">
        <v>16</v>
      </c>
      <c r="E13" s="25" t="s">
        <v>16</v>
      </c>
      <c r="F13" s="37" t="s">
        <v>26</v>
      </c>
      <c r="G13" s="28" t="s">
        <v>259</v>
      </c>
      <c r="H13" s="28" t="s">
        <v>260</v>
      </c>
    </row>
    <row r="14" spans="2:8" s="29" customFormat="1" ht="75" customHeight="1" x14ac:dyDescent="0.25">
      <c r="B14" s="75" t="s">
        <v>401</v>
      </c>
      <c r="C14" s="75" t="s">
        <v>225</v>
      </c>
      <c r="D14" s="75" t="s">
        <v>16</v>
      </c>
      <c r="E14" s="75" t="s">
        <v>16</v>
      </c>
      <c r="F14" s="77" t="s">
        <v>23</v>
      </c>
      <c r="G14" s="76" t="s">
        <v>37</v>
      </c>
      <c r="H14" s="76" t="s">
        <v>262</v>
      </c>
    </row>
    <row r="15" spans="2:8" s="29" customFormat="1" ht="75" customHeight="1" x14ac:dyDescent="0.25">
      <c r="B15" s="75" t="s">
        <v>402</v>
      </c>
      <c r="C15" s="75" t="s">
        <v>225</v>
      </c>
      <c r="D15" s="75" t="s">
        <v>16</v>
      </c>
      <c r="E15" s="75" t="s">
        <v>16</v>
      </c>
      <c r="F15" s="77" t="s">
        <v>23</v>
      </c>
      <c r="G15" s="76" t="s">
        <v>38</v>
      </c>
      <c r="H15" s="76" t="s">
        <v>263</v>
      </c>
    </row>
    <row r="16" spans="2:8" s="29" customFormat="1" ht="75" customHeight="1" x14ac:dyDescent="0.25">
      <c r="B16" s="25" t="s">
        <v>403</v>
      </c>
      <c r="C16" s="25" t="s">
        <v>225</v>
      </c>
      <c r="D16" s="25" t="s">
        <v>16</v>
      </c>
      <c r="E16" s="25" t="s">
        <v>16</v>
      </c>
      <c r="F16" s="37" t="s">
        <v>18</v>
      </c>
      <c r="G16" s="28" t="s">
        <v>357</v>
      </c>
      <c r="H16" s="28" t="s">
        <v>264</v>
      </c>
    </row>
    <row r="17" spans="2:10" s="29" customFormat="1" ht="75" customHeight="1" x14ac:dyDescent="0.25">
      <c r="B17" s="25" t="s">
        <v>404</v>
      </c>
      <c r="C17" s="25" t="s">
        <v>225</v>
      </c>
      <c r="D17" s="25" t="s">
        <v>16</v>
      </c>
      <c r="E17" s="25" t="s">
        <v>16</v>
      </c>
      <c r="F17" s="37" t="s">
        <v>18</v>
      </c>
      <c r="G17" s="28" t="s">
        <v>167</v>
      </c>
      <c r="H17" s="28" t="s">
        <v>274</v>
      </c>
    </row>
    <row r="18" spans="2:10" s="29" customFormat="1" ht="75" customHeight="1" x14ac:dyDescent="0.25">
      <c r="B18" s="73" t="s">
        <v>405</v>
      </c>
      <c r="C18" s="73" t="s">
        <v>225</v>
      </c>
      <c r="D18" s="73" t="s">
        <v>359</v>
      </c>
      <c r="E18" s="73" t="s">
        <v>359</v>
      </c>
      <c r="F18" s="74" t="s">
        <v>3</v>
      </c>
      <c r="G18" s="72" t="s">
        <v>265</v>
      </c>
      <c r="H18" s="72" t="s">
        <v>266</v>
      </c>
    </row>
    <row r="19" spans="2:10" s="29" customFormat="1" ht="75" customHeight="1" x14ac:dyDescent="0.3">
      <c r="B19" s="73" t="s">
        <v>406</v>
      </c>
      <c r="C19" s="73" t="s">
        <v>225</v>
      </c>
      <c r="D19" s="73" t="s">
        <v>359</v>
      </c>
      <c r="E19" s="73" t="s">
        <v>359</v>
      </c>
      <c r="F19" s="74" t="s">
        <v>3</v>
      </c>
      <c r="G19" s="72" t="s">
        <v>49</v>
      </c>
      <c r="H19" s="72" t="s">
        <v>339</v>
      </c>
      <c r="J19" s="1"/>
    </row>
    <row r="20" spans="2:10" s="29" customFormat="1" ht="75" customHeight="1" x14ac:dyDescent="0.3">
      <c r="B20" s="73" t="s">
        <v>407</v>
      </c>
      <c r="C20" s="73" t="s">
        <v>225</v>
      </c>
      <c r="D20" s="73" t="s">
        <v>359</v>
      </c>
      <c r="E20" s="73" t="s">
        <v>359</v>
      </c>
      <c r="F20" s="74" t="s">
        <v>3</v>
      </c>
      <c r="G20" s="72" t="s">
        <v>48</v>
      </c>
      <c r="H20" s="72" t="s">
        <v>267</v>
      </c>
      <c r="J20" s="1"/>
    </row>
    <row r="21" spans="2:10" s="29" customFormat="1" ht="75" customHeight="1" x14ac:dyDescent="0.3">
      <c r="B21" s="73" t="s">
        <v>408</v>
      </c>
      <c r="C21" s="73" t="s">
        <v>225</v>
      </c>
      <c r="D21" s="73" t="s">
        <v>359</v>
      </c>
      <c r="E21" s="73" t="s">
        <v>359</v>
      </c>
      <c r="F21" s="74" t="s">
        <v>3</v>
      </c>
      <c r="G21" s="72" t="s">
        <v>47</v>
      </c>
      <c r="H21" s="72" t="s">
        <v>340</v>
      </c>
      <c r="J21" s="1"/>
    </row>
    <row r="22" spans="2:10" s="29" customFormat="1" ht="75" customHeight="1" x14ac:dyDescent="0.3">
      <c r="B22" s="73" t="s">
        <v>409</v>
      </c>
      <c r="C22" s="73" t="s">
        <v>225</v>
      </c>
      <c r="D22" s="73" t="s">
        <v>359</v>
      </c>
      <c r="E22" s="73" t="s">
        <v>359</v>
      </c>
      <c r="F22" s="74" t="s">
        <v>3</v>
      </c>
      <c r="G22" s="72" t="s">
        <v>345</v>
      </c>
      <c r="H22" s="72" t="s">
        <v>346</v>
      </c>
      <c r="J22" s="1"/>
    </row>
    <row r="23" spans="2:10" s="29" customFormat="1" ht="75" customHeight="1" x14ac:dyDescent="0.3">
      <c r="B23" s="73" t="s">
        <v>410</v>
      </c>
      <c r="C23" s="73" t="s">
        <v>225</v>
      </c>
      <c r="D23" s="73" t="s">
        <v>359</v>
      </c>
      <c r="E23" s="73" t="s">
        <v>359</v>
      </c>
      <c r="F23" s="74" t="s">
        <v>3</v>
      </c>
      <c r="G23" s="72" t="s">
        <v>46</v>
      </c>
      <c r="H23" s="72" t="s">
        <v>341</v>
      </c>
      <c r="J23" s="1"/>
    </row>
    <row r="24" spans="2:10" s="29" customFormat="1" ht="75" customHeight="1" x14ac:dyDescent="0.3">
      <c r="B24" s="73" t="s">
        <v>411</v>
      </c>
      <c r="C24" s="73" t="s">
        <v>225</v>
      </c>
      <c r="D24" s="73" t="s">
        <v>359</v>
      </c>
      <c r="E24" s="73" t="s">
        <v>359</v>
      </c>
      <c r="F24" s="74" t="s">
        <v>3</v>
      </c>
      <c r="G24" s="72" t="s">
        <v>50</v>
      </c>
      <c r="H24" s="72" t="s">
        <v>342</v>
      </c>
      <c r="J24" s="1"/>
    </row>
    <row r="25" spans="2:10" s="29" customFormat="1" ht="75" customHeight="1" x14ac:dyDescent="0.3">
      <c r="B25" s="73" t="s">
        <v>412</v>
      </c>
      <c r="C25" s="73" t="s">
        <v>225</v>
      </c>
      <c r="D25" s="73" t="s">
        <v>359</v>
      </c>
      <c r="E25" s="73" t="s">
        <v>359</v>
      </c>
      <c r="F25" s="74" t="s">
        <v>3</v>
      </c>
      <c r="G25" s="72" t="s">
        <v>51</v>
      </c>
      <c r="H25" s="72" t="s">
        <v>343</v>
      </c>
      <c r="J25" s="1"/>
    </row>
    <row r="26" spans="2:10" s="29" customFormat="1" ht="75" customHeight="1" x14ac:dyDescent="0.3">
      <c r="B26" s="73" t="s">
        <v>413</v>
      </c>
      <c r="C26" s="73" t="s">
        <v>225</v>
      </c>
      <c r="D26" s="73" t="s">
        <v>359</v>
      </c>
      <c r="E26" s="73" t="s">
        <v>359</v>
      </c>
      <c r="F26" s="74" t="s">
        <v>3</v>
      </c>
      <c r="G26" s="72" t="s">
        <v>168</v>
      </c>
      <c r="H26" s="72" t="s">
        <v>268</v>
      </c>
      <c r="J26" s="1"/>
    </row>
    <row r="27" spans="2:10" s="30" customFormat="1" ht="75" customHeight="1" x14ac:dyDescent="0.3">
      <c r="B27" s="25" t="s">
        <v>414</v>
      </c>
      <c r="C27" s="25" t="s">
        <v>225</v>
      </c>
      <c r="D27" s="25" t="s">
        <v>359</v>
      </c>
      <c r="E27" s="25" t="s">
        <v>359</v>
      </c>
      <c r="F27" s="37" t="s">
        <v>6</v>
      </c>
      <c r="G27" s="28" t="s">
        <v>44</v>
      </c>
      <c r="H27" s="28" t="s">
        <v>344</v>
      </c>
      <c r="J27" s="31"/>
    </row>
    <row r="28" spans="2:10" s="29" customFormat="1" ht="75" customHeight="1" x14ac:dyDescent="0.3">
      <c r="B28" s="25" t="s">
        <v>415</v>
      </c>
      <c r="C28" s="25" t="s">
        <v>225</v>
      </c>
      <c r="D28" s="25" t="s">
        <v>359</v>
      </c>
      <c r="E28" s="25" t="s">
        <v>359</v>
      </c>
      <c r="F28" s="37" t="s">
        <v>6</v>
      </c>
      <c r="G28" s="28" t="s">
        <v>39</v>
      </c>
      <c r="H28" s="28" t="s">
        <v>347</v>
      </c>
      <c r="J28" s="1"/>
    </row>
    <row r="29" spans="2:10" s="29" customFormat="1" ht="75" customHeight="1" x14ac:dyDescent="0.3">
      <c r="B29" s="25" t="s">
        <v>416</v>
      </c>
      <c r="C29" s="25" t="s">
        <v>225</v>
      </c>
      <c r="D29" s="25" t="s">
        <v>359</v>
      </c>
      <c r="E29" s="25" t="s">
        <v>359</v>
      </c>
      <c r="F29" s="37" t="s">
        <v>6</v>
      </c>
      <c r="G29" s="28" t="s">
        <v>40</v>
      </c>
      <c r="H29" s="28" t="s">
        <v>348</v>
      </c>
      <c r="J29" s="1"/>
    </row>
    <row r="30" spans="2:10" s="29" customFormat="1" ht="75" customHeight="1" x14ac:dyDescent="0.3">
      <c r="B30" s="25" t="s">
        <v>417</v>
      </c>
      <c r="C30" s="25" t="s">
        <v>225</v>
      </c>
      <c r="D30" s="25" t="s">
        <v>359</v>
      </c>
      <c r="E30" s="25" t="s">
        <v>359</v>
      </c>
      <c r="F30" s="37" t="s">
        <v>6</v>
      </c>
      <c r="G30" s="28" t="s">
        <v>349</v>
      </c>
      <c r="H30" s="28" t="s">
        <v>350</v>
      </c>
      <c r="J30" s="1"/>
    </row>
    <row r="31" spans="2:10" s="29" customFormat="1" ht="75" customHeight="1" x14ac:dyDescent="0.3">
      <c r="B31" s="73" t="s">
        <v>418</v>
      </c>
      <c r="C31" s="73" t="s">
        <v>225</v>
      </c>
      <c r="D31" s="73" t="s">
        <v>359</v>
      </c>
      <c r="E31" s="73" t="s">
        <v>359</v>
      </c>
      <c r="F31" s="74" t="s">
        <v>4</v>
      </c>
      <c r="G31" s="72" t="s">
        <v>28</v>
      </c>
      <c r="H31" s="72" t="s">
        <v>269</v>
      </c>
      <c r="J31" s="1"/>
    </row>
    <row r="32" spans="2:10" s="29" customFormat="1" ht="75" customHeight="1" x14ac:dyDescent="0.3">
      <c r="B32" s="73" t="s">
        <v>419</v>
      </c>
      <c r="C32" s="73" t="s">
        <v>225</v>
      </c>
      <c r="D32" s="73" t="s">
        <v>359</v>
      </c>
      <c r="E32" s="73" t="s">
        <v>359</v>
      </c>
      <c r="F32" s="74" t="s">
        <v>4</v>
      </c>
      <c r="G32" s="72" t="s">
        <v>42</v>
      </c>
      <c r="H32" s="72" t="s">
        <v>351</v>
      </c>
      <c r="J32" s="1"/>
    </row>
    <row r="33" spans="2:10" s="29" customFormat="1" ht="75" customHeight="1" x14ac:dyDescent="0.3">
      <c r="B33" s="25" t="s">
        <v>420</v>
      </c>
      <c r="C33" s="25" t="s">
        <v>225</v>
      </c>
      <c r="D33" s="25" t="s">
        <v>359</v>
      </c>
      <c r="E33" s="25" t="s">
        <v>359</v>
      </c>
      <c r="F33" s="37" t="s">
        <v>20</v>
      </c>
      <c r="G33" s="28" t="s">
        <v>43</v>
      </c>
      <c r="H33" s="28" t="s">
        <v>270</v>
      </c>
      <c r="J33" s="1"/>
    </row>
    <row r="34" spans="2:10" s="29" customFormat="1" ht="75" customHeight="1" x14ac:dyDescent="0.3">
      <c r="B34" s="25" t="s">
        <v>421</v>
      </c>
      <c r="C34" s="25" t="s">
        <v>225</v>
      </c>
      <c r="D34" s="25" t="s">
        <v>359</v>
      </c>
      <c r="E34" s="25" t="s">
        <v>359</v>
      </c>
      <c r="F34" s="37" t="s">
        <v>20</v>
      </c>
      <c r="G34" s="28" t="s">
        <v>110</v>
      </c>
      <c r="H34" s="28" t="s">
        <v>271</v>
      </c>
      <c r="J34" s="1"/>
    </row>
    <row r="35" spans="2:10" s="29" customFormat="1" ht="75" customHeight="1" x14ac:dyDescent="0.3">
      <c r="B35" s="73" t="s">
        <v>422</v>
      </c>
      <c r="C35" s="73" t="s">
        <v>225</v>
      </c>
      <c r="D35" s="73" t="s">
        <v>359</v>
      </c>
      <c r="E35" s="73" t="s">
        <v>359</v>
      </c>
      <c r="F35" s="74" t="s">
        <v>5</v>
      </c>
      <c r="G35" s="72" t="s">
        <v>17</v>
      </c>
      <c r="H35" s="72" t="s">
        <v>272</v>
      </c>
      <c r="J35" s="1"/>
    </row>
    <row r="36" spans="2:10" s="29" customFormat="1" ht="75" customHeight="1" x14ac:dyDescent="0.3">
      <c r="B36" s="73" t="s">
        <v>423</v>
      </c>
      <c r="C36" s="73" t="s">
        <v>225</v>
      </c>
      <c r="D36" s="73" t="s">
        <v>359</v>
      </c>
      <c r="E36" s="73" t="s">
        <v>359</v>
      </c>
      <c r="F36" s="74" t="s">
        <v>5</v>
      </c>
      <c r="G36" s="72" t="s">
        <v>19</v>
      </c>
      <c r="H36" s="72" t="s">
        <v>273</v>
      </c>
      <c r="J36" s="1"/>
    </row>
    <row r="37" spans="2:10" s="29" customFormat="1" ht="75" customHeight="1" x14ac:dyDescent="0.3">
      <c r="B37" s="73" t="s">
        <v>424</v>
      </c>
      <c r="C37" s="73" t="s">
        <v>225</v>
      </c>
      <c r="D37" s="73" t="s">
        <v>359</v>
      </c>
      <c r="E37" s="73" t="s">
        <v>359</v>
      </c>
      <c r="F37" s="74" t="s">
        <v>5</v>
      </c>
      <c r="G37" s="72" t="s">
        <v>45</v>
      </c>
      <c r="H37" s="72" t="s">
        <v>358</v>
      </c>
      <c r="J37" s="1"/>
    </row>
    <row r="38" spans="2:10" s="29" customFormat="1" ht="75" customHeight="1" x14ac:dyDescent="0.3">
      <c r="B38" s="25" t="s">
        <v>425</v>
      </c>
      <c r="C38" s="25" t="s">
        <v>30</v>
      </c>
      <c r="D38" s="25" t="s">
        <v>30</v>
      </c>
      <c r="E38" s="25" t="s">
        <v>27</v>
      </c>
      <c r="F38" s="37" t="s">
        <v>31</v>
      </c>
      <c r="G38" s="28" t="s">
        <v>32</v>
      </c>
      <c r="H38" s="28" t="s">
        <v>352</v>
      </c>
      <c r="J38" s="1"/>
    </row>
    <row r="39" spans="2:10" s="29" customFormat="1" ht="75" customHeight="1" x14ac:dyDescent="0.3">
      <c r="B39" s="25" t="s">
        <v>426</v>
      </c>
      <c r="C39" s="25" t="s">
        <v>30</v>
      </c>
      <c r="D39" s="25" t="s">
        <v>30</v>
      </c>
      <c r="E39" s="25" t="s">
        <v>27</v>
      </c>
      <c r="F39" s="37" t="s">
        <v>353</v>
      </c>
      <c r="G39" s="37" t="s">
        <v>353</v>
      </c>
      <c r="H39" s="28" t="s">
        <v>354</v>
      </c>
      <c r="J39" s="1"/>
    </row>
    <row r="40" spans="2:10" s="29" customFormat="1" ht="75" customHeight="1" x14ac:dyDescent="0.3">
      <c r="B40" s="73" t="s">
        <v>427</v>
      </c>
      <c r="C40" s="73" t="s">
        <v>29</v>
      </c>
      <c r="D40" s="73" t="s">
        <v>29</v>
      </c>
      <c r="E40" s="73" t="s">
        <v>27</v>
      </c>
      <c r="F40" s="74" t="s">
        <v>7</v>
      </c>
      <c r="G40" s="72" t="s">
        <v>166</v>
      </c>
      <c r="H40" s="72" t="s">
        <v>355</v>
      </c>
      <c r="J40" s="1"/>
    </row>
    <row r="41" spans="2:10" s="29" customFormat="1" ht="75" customHeight="1" x14ac:dyDescent="0.3">
      <c r="B41" s="73" t="s">
        <v>428</v>
      </c>
      <c r="C41" s="73" t="s">
        <v>29</v>
      </c>
      <c r="D41" s="73" t="s">
        <v>29</v>
      </c>
      <c r="E41" s="73" t="s">
        <v>27</v>
      </c>
      <c r="F41" s="74" t="s">
        <v>8</v>
      </c>
      <c r="G41" s="72" t="s">
        <v>8</v>
      </c>
      <c r="H41" s="72" t="s">
        <v>356</v>
      </c>
      <c r="J41" s="1"/>
    </row>
    <row r="42" spans="2:10" s="32" customFormat="1" ht="19.5" customHeight="1" x14ac:dyDescent="0.25">
      <c r="B42" s="78"/>
      <c r="C42" s="78"/>
      <c r="D42" s="78"/>
      <c r="E42" s="78"/>
      <c r="F42" s="79"/>
      <c r="G42" s="79"/>
      <c r="H42" s="3"/>
    </row>
    <row r="43" spans="2:10" s="85" customFormat="1" ht="30" customHeight="1" x14ac:dyDescent="0.25">
      <c r="B43" s="84"/>
      <c r="C43" s="84" t="s">
        <v>219</v>
      </c>
      <c r="D43" s="84"/>
      <c r="F43" s="86"/>
      <c r="G43" s="86"/>
      <c r="H43" s="86"/>
    </row>
    <row r="44" spans="2:10" customFormat="1" ht="43.5" customHeight="1" x14ac:dyDescent="0.25">
      <c r="B44" s="35" t="s">
        <v>9</v>
      </c>
      <c r="C44" s="35" t="s">
        <v>224</v>
      </c>
      <c r="D44" s="35" t="s">
        <v>10</v>
      </c>
      <c r="E44" s="35" t="s">
        <v>11</v>
      </c>
      <c r="F44" s="36" t="s">
        <v>12</v>
      </c>
      <c r="G44" s="36" t="s">
        <v>165</v>
      </c>
      <c r="H44" s="36" t="s">
        <v>169</v>
      </c>
    </row>
    <row r="45" spans="2:10" ht="75" customHeight="1" x14ac:dyDescent="0.3">
      <c r="B45" s="73" t="s">
        <v>429</v>
      </c>
      <c r="C45" s="73" t="s">
        <v>225</v>
      </c>
      <c r="D45" s="73" t="s">
        <v>41</v>
      </c>
      <c r="E45" s="73" t="s">
        <v>27</v>
      </c>
      <c r="F45" s="74" t="s">
        <v>2</v>
      </c>
      <c r="G45" s="72" t="s">
        <v>360</v>
      </c>
      <c r="H45" s="72" t="s">
        <v>362</v>
      </c>
    </row>
    <row r="46" spans="2:10" ht="75" customHeight="1" x14ac:dyDescent="0.3">
      <c r="B46" s="73" t="s">
        <v>430</v>
      </c>
      <c r="C46" s="73" t="s">
        <v>225</v>
      </c>
      <c r="D46" s="73" t="s">
        <v>41</v>
      </c>
      <c r="E46" s="73" t="s">
        <v>27</v>
      </c>
      <c r="F46" s="74" t="s">
        <v>2</v>
      </c>
      <c r="G46" s="72" t="s">
        <v>361</v>
      </c>
      <c r="H46" s="72" t="s">
        <v>568</v>
      </c>
    </row>
    <row r="47" spans="2:10" ht="75" customHeight="1" x14ac:dyDescent="0.3">
      <c r="B47" s="73" t="s">
        <v>431</v>
      </c>
      <c r="C47" s="73" t="s">
        <v>225</v>
      </c>
      <c r="D47" s="73" t="s">
        <v>41</v>
      </c>
      <c r="E47" s="73" t="s">
        <v>27</v>
      </c>
      <c r="F47" s="74" t="s">
        <v>2</v>
      </c>
      <c r="G47" s="72" t="s">
        <v>185</v>
      </c>
      <c r="H47" s="72" t="s">
        <v>275</v>
      </c>
    </row>
    <row r="48" spans="2:10" ht="75" customHeight="1" x14ac:dyDescent="0.3">
      <c r="B48" s="73" t="s">
        <v>432</v>
      </c>
      <c r="C48" s="73" t="s">
        <v>225</v>
      </c>
      <c r="D48" s="73" t="s">
        <v>41</v>
      </c>
      <c r="E48" s="73" t="s">
        <v>27</v>
      </c>
      <c r="F48" s="74" t="s">
        <v>2</v>
      </c>
      <c r="G48" s="72" t="s">
        <v>186</v>
      </c>
      <c r="H48" s="72" t="s">
        <v>276</v>
      </c>
    </row>
    <row r="49" spans="2:8" ht="123.75" customHeight="1" x14ac:dyDescent="0.3">
      <c r="B49" s="73" t="s">
        <v>433</v>
      </c>
      <c r="C49" s="73" t="s">
        <v>225</v>
      </c>
      <c r="D49" s="73" t="s">
        <v>41</v>
      </c>
      <c r="E49" s="73" t="s">
        <v>27</v>
      </c>
      <c r="F49" s="74" t="s">
        <v>2</v>
      </c>
      <c r="G49" s="72" t="s">
        <v>187</v>
      </c>
      <c r="H49" s="72" t="s">
        <v>277</v>
      </c>
    </row>
    <row r="50" spans="2:8" ht="75" customHeight="1" x14ac:dyDescent="0.3">
      <c r="B50" s="73" t="s">
        <v>434</v>
      </c>
      <c r="C50" s="73" t="s">
        <v>225</v>
      </c>
      <c r="D50" s="73" t="s">
        <v>41</v>
      </c>
      <c r="E50" s="73" t="s">
        <v>27</v>
      </c>
      <c r="F50" s="74" t="s">
        <v>2</v>
      </c>
      <c r="G50" s="72" t="s">
        <v>188</v>
      </c>
      <c r="H50" s="72" t="s">
        <v>278</v>
      </c>
    </row>
    <row r="51" spans="2:8" ht="75" customHeight="1" x14ac:dyDescent="0.3">
      <c r="B51" s="73" t="s">
        <v>435</v>
      </c>
      <c r="C51" s="73" t="s">
        <v>225</v>
      </c>
      <c r="D51" s="73" t="s">
        <v>41</v>
      </c>
      <c r="E51" s="73" t="s">
        <v>27</v>
      </c>
      <c r="F51" s="74" t="s">
        <v>2</v>
      </c>
      <c r="G51" s="72" t="s">
        <v>189</v>
      </c>
      <c r="H51" s="72" t="s">
        <v>279</v>
      </c>
    </row>
    <row r="52" spans="2:8" ht="75" customHeight="1" x14ac:dyDescent="0.3">
      <c r="B52" s="73" t="s">
        <v>436</v>
      </c>
      <c r="C52" s="73" t="s">
        <v>225</v>
      </c>
      <c r="D52" s="73" t="s">
        <v>41</v>
      </c>
      <c r="E52" s="73" t="s">
        <v>27</v>
      </c>
      <c r="F52" s="74" t="s">
        <v>2</v>
      </c>
      <c r="G52" s="72" t="s">
        <v>190</v>
      </c>
      <c r="H52" s="72" t="s">
        <v>280</v>
      </c>
    </row>
    <row r="53" spans="2:8" ht="75" customHeight="1" x14ac:dyDescent="0.3">
      <c r="B53" s="73" t="s">
        <v>437</v>
      </c>
      <c r="C53" s="73" t="s">
        <v>225</v>
      </c>
      <c r="D53" s="73" t="s">
        <v>41</v>
      </c>
      <c r="E53" s="73" t="s">
        <v>27</v>
      </c>
      <c r="F53" s="74" t="s">
        <v>2</v>
      </c>
      <c r="G53" s="72" t="s">
        <v>191</v>
      </c>
      <c r="H53" s="72" t="s">
        <v>281</v>
      </c>
    </row>
    <row r="54" spans="2:8" ht="75" customHeight="1" x14ac:dyDescent="0.3">
      <c r="B54" s="73" t="s">
        <v>438</v>
      </c>
      <c r="C54" s="73" t="s">
        <v>225</v>
      </c>
      <c r="D54" s="73" t="s">
        <v>41</v>
      </c>
      <c r="E54" s="73" t="s">
        <v>27</v>
      </c>
      <c r="F54" s="74" t="s">
        <v>2</v>
      </c>
      <c r="G54" s="72" t="s">
        <v>15</v>
      </c>
      <c r="H54" s="72" t="s">
        <v>282</v>
      </c>
    </row>
    <row r="55" spans="2:8" s="32" customFormat="1" ht="19.5" customHeight="1" x14ac:dyDescent="0.25">
      <c r="B55" s="78"/>
      <c r="C55" s="78"/>
      <c r="D55" s="78"/>
      <c r="E55" s="78"/>
      <c r="F55" s="79"/>
      <c r="G55" s="79"/>
      <c r="H55" s="3"/>
    </row>
    <row r="56" spans="2:8" s="32" customFormat="1" ht="30" customHeight="1" x14ac:dyDescent="0.25">
      <c r="B56" s="80"/>
      <c r="C56" s="80" t="s">
        <v>220</v>
      </c>
      <c r="D56" s="80"/>
      <c r="E56" s="78"/>
      <c r="F56" s="79"/>
      <c r="G56" s="79"/>
      <c r="H56" s="3"/>
    </row>
    <row r="57" spans="2:8" customFormat="1" ht="43.5" customHeight="1" x14ac:dyDescent="0.25">
      <c r="B57" s="35" t="s">
        <v>9</v>
      </c>
      <c r="C57" s="35" t="s">
        <v>224</v>
      </c>
      <c r="D57" s="35" t="s">
        <v>10</v>
      </c>
      <c r="E57" s="35" t="s">
        <v>11</v>
      </c>
      <c r="F57" s="36" t="s">
        <v>12</v>
      </c>
      <c r="G57" s="36" t="s">
        <v>165</v>
      </c>
      <c r="H57" s="36" t="s">
        <v>169</v>
      </c>
    </row>
    <row r="58" spans="2:8" ht="89.25" customHeight="1" x14ac:dyDescent="0.3">
      <c r="B58" s="73" t="s">
        <v>439</v>
      </c>
      <c r="C58" s="73" t="s">
        <v>225</v>
      </c>
      <c r="D58" s="73" t="s">
        <v>41</v>
      </c>
      <c r="E58" s="73" t="s">
        <v>27</v>
      </c>
      <c r="F58" s="74" t="s">
        <v>2</v>
      </c>
      <c r="G58" s="72" t="s">
        <v>170</v>
      </c>
      <c r="H58" s="72" t="s">
        <v>283</v>
      </c>
    </row>
    <row r="59" spans="2:8" ht="75" customHeight="1" x14ac:dyDescent="0.3">
      <c r="B59" s="73" t="s">
        <v>440</v>
      </c>
      <c r="C59" s="73" t="s">
        <v>225</v>
      </c>
      <c r="D59" s="73" t="s">
        <v>41</v>
      </c>
      <c r="E59" s="73" t="s">
        <v>27</v>
      </c>
      <c r="F59" s="74" t="s">
        <v>2</v>
      </c>
      <c r="G59" s="72" t="s">
        <v>176</v>
      </c>
      <c r="H59" s="72" t="s">
        <v>284</v>
      </c>
    </row>
    <row r="60" spans="2:8" ht="75" customHeight="1" x14ac:dyDescent="0.3">
      <c r="B60" s="73" t="s">
        <v>441</v>
      </c>
      <c r="C60" s="73" t="s">
        <v>225</v>
      </c>
      <c r="D60" s="73" t="s">
        <v>41</v>
      </c>
      <c r="E60" s="73" t="s">
        <v>27</v>
      </c>
      <c r="F60" s="74" t="s">
        <v>2</v>
      </c>
      <c r="G60" s="72" t="s">
        <v>171</v>
      </c>
      <c r="H60" s="72" t="s">
        <v>285</v>
      </c>
    </row>
    <row r="61" spans="2:8" ht="75" customHeight="1" x14ac:dyDescent="0.3">
      <c r="B61" s="73" t="s">
        <v>442</v>
      </c>
      <c r="C61" s="73" t="s">
        <v>225</v>
      </c>
      <c r="D61" s="73" t="s">
        <v>41</v>
      </c>
      <c r="E61" s="73" t="s">
        <v>27</v>
      </c>
      <c r="F61" s="74" t="s">
        <v>2</v>
      </c>
      <c r="G61" s="72" t="s">
        <v>174</v>
      </c>
      <c r="H61" s="72" t="s">
        <v>286</v>
      </c>
    </row>
    <row r="62" spans="2:8" ht="75" customHeight="1" x14ac:dyDescent="0.3">
      <c r="B62" s="73" t="s">
        <v>443</v>
      </c>
      <c r="C62" s="73" t="s">
        <v>225</v>
      </c>
      <c r="D62" s="73" t="s">
        <v>41</v>
      </c>
      <c r="E62" s="73" t="s">
        <v>27</v>
      </c>
      <c r="F62" s="74" t="s">
        <v>2</v>
      </c>
      <c r="G62" s="72" t="s">
        <v>177</v>
      </c>
      <c r="H62" s="72" t="s">
        <v>287</v>
      </c>
    </row>
    <row r="63" spans="2:8" ht="75" customHeight="1" x14ac:dyDescent="0.3">
      <c r="B63" s="73" t="s">
        <v>444</v>
      </c>
      <c r="C63" s="73" t="s">
        <v>225</v>
      </c>
      <c r="D63" s="73" t="s">
        <v>41</v>
      </c>
      <c r="E63" s="73" t="s">
        <v>27</v>
      </c>
      <c r="F63" s="74" t="s">
        <v>2</v>
      </c>
      <c r="G63" s="72" t="s">
        <v>179</v>
      </c>
      <c r="H63" s="72" t="s">
        <v>288</v>
      </c>
    </row>
    <row r="64" spans="2:8" ht="75" customHeight="1" x14ac:dyDescent="0.3">
      <c r="B64" s="73" t="s">
        <v>445</v>
      </c>
      <c r="C64" s="73" t="s">
        <v>225</v>
      </c>
      <c r="D64" s="73" t="s">
        <v>41</v>
      </c>
      <c r="E64" s="73" t="s">
        <v>27</v>
      </c>
      <c r="F64" s="74" t="s">
        <v>2</v>
      </c>
      <c r="G64" s="72" t="s">
        <v>181</v>
      </c>
      <c r="H64" s="72" t="s">
        <v>289</v>
      </c>
    </row>
    <row r="65" spans="2:8" ht="75" customHeight="1" x14ac:dyDescent="0.3">
      <c r="B65" s="73" t="s">
        <v>446</v>
      </c>
      <c r="C65" s="73" t="s">
        <v>225</v>
      </c>
      <c r="D65" s="73" t="s">
        <v>41</v>
      </c>
      <c r="E65" s="73" t="s">
        <v>27</v>
      </c>
      <c r="F65" s="74" t="s">
        <v>2</v>
      </c>
      <c r="G65" s="72" t="s">
        <v>201</v>
      </c>
      <c r="H65" s="72" t="s">
        <v>290</v>
      </c>
    </row>
    <row r="66" spans="2:8" ht="75" customHeight="1" x14ac:dyDescent="0.3">
      <c r="B66" s="73" t="s">
        <v>447</v>
      </c>
      <c r="C66" s="73" t="s">
        <v>225</v>
      </c>
      <c r="D66" s="73" t="s">
        <v>41</v>
      </c>
      <c r="E66" s="73" t="s">
        <v>27</v>
      </c>
      <c r="F66" s="74" t="s">
        <v>2</v>
      </c>
      <c r="G66" s="72" t="s">
        <v>202</v>
      </c>
      <c r="H66" s="72" t="s">
        <v>291</v>
      </c>
    </row>
    <row r="67" spans="2:8" s="32" customFormat="1" ht="19.5" customHeight="1" x14ac:dyDescent="0.25">
      <c r="B67" s="78"/>
      <c r="C67" s="78"/>
      <c r="D67" s="78"/>
      <c r="E67" s="78"/>
      <c r="F67" s="79"/>
      <c r="G67" s="79"/>
      <c r="H67" s="3"/>
    </row>
    <row r="68" spans="2:8" s="32" customFormat="1" ht="30" customHeight="1" x14ac:dyDescent="0.25">
      <c r="B68" s="80"/>
      <c r="C68" s="80" t="s">
        <v>221</v>
      </c>
      <c r="D68" s="80"/>
      <c r="E68" s="78"/>
      <c r="F68" s="79"/>
      <c r="G68" s="79"/>
      <c r="H68" s="3"/>
    </row>
    <row r="69" spans="2:8" customFormat="1" ht="43.5" customHeight="1" x14ac:dyDescent="0.25">
      <c r="B69" s="35" t="s">
        <v>9</v>
      </c>
      <c r="C69" s="35" t="s">
        <v>224</v>
      </c>
      <c r="D69" s="35" t="s">
        <v>10</v>
      </c>
      <c r="E69" s="35" t="s">
        <v>11</v>
      </c>
      <c r="F69" s="36" t="s">
        <v>12</v>
      </c>
      <c r="G69" s="36" t="s">
        <v>165</v>
      </c>
      <c r="H69" s="36" t="s">
        <v>169</v>
      </c>
    </row>
    <row r="70" spans="2:8" ht="63" x14ac:dyDescent="0.3">
      <c r="B70" s="73" t="s">
        <v>448</v>
      </c>
      <c r="C70" s="73" t="s">
        <v>225</v>
      </c>
      <c r="D70" s="73" t="s">
        <v>41</v>
      </c>
      <c r="E70" s="73" t="s">
        <v>27</v>
      </c>
      <c r="F70" s="74" t="s">
        <v>2</v>
      </c>
      <c r="G70" s="72" t="s">
        <v>187</v>
      </c>
      <c r="H70" s="72" t="s">
        <v>292</v>
      </c>
    </row>
    <row r="71" spans="2:8" ht="75" customHeight="1" x14ac:dyDescent="0.3">
      <c r="B71" s="73" t="s">
        <v>449</v>
      </c>
      <c r="C71" s="73" t="s">
        <v>225</v>
      </c>
      <c r="D71" s="73" t="s">
        <v>41</v>
      </c>
      <c r="E71" s="73" t="s">
        <v>27</v>
      </c>
      <c r="F71" s="74" t="s">
        <v>2</v>
      </c>
      <c r="G71" s="72" t="s">
        <v>185</v>
      </c>
      <c r="H71" s="72" t="s">
        <v>293</v>
      </c>
    </row>
    <row r="72" spans="2:8" ht="75" customHeight="1" x14ac:dyDescent="0.3">
      <c r="B72" s="73" t="s">
        <v>450</v>
      </c>
      <c r="C72" s="73" t="s">
        <v>225</v>
      </c>
      <c r="D72" s="73" t="s">
        <v>41</v>
      </c>
      <c r="E72" s="73" t="s">
        <v>27</v>
      </c>
      <c r="F72" s="74" t="s">
        <v>2</v>
      </c>
      <c r="G72" s="72" t="s">
        <v>186</v>
      </c>
      <c r="H72" s="72" t="s">
        <v>294</v>
      </c>
    </row>
    <row r="73" spans="2:8" ht="75" customHeight="1" x14ac:dyDescent="0.3">
      <c r="B73" s="73" t="s">
        <v>451</v>
      </c>
      <c r="C73" s="73" t="s">
        <v>225</v>
      </c>
      <c r="D73" s="73" t="s">
        <v>41</v>
      </c>
      <c r="E73" s="73" t="s">
        <v>27</v>
      </c>
      <c r="F73" s="74" t="s">
        <v>2</v>
      </c>
      <c r="G73" s="72" t="s">
        <v>188</v>
      </c>
      <c r="H73" s="72" t="s">
        <v>295</v>
      </c>
    </row>
    <row r="74" spans="2:8" ht="75" customHeight="1" x14ac:dyDescent="0.3">
      <c r="B74" s="73" t="s">
        <v>452</v>
      </c>
      <c r="C74" s="73" t="s">
        <v>225</v>
      </c>
      <c r="D74" s="73" t="s">
        <v>41</v>
      </c>
      <c r="E74" s="73" t="s">
        <v>27</v>
      </c>
      <c r="F74" s="74" t="s">
        <v>2</v>
      </c>
      <c r="G74" s="72" t="s">
        <v>189</v>
      </c>
      <c r="H74" s="72" t="s">
        <v>296</v>
      </c>
    </row>
    <row r="75" spans="2:8" ht="75" customHeight="1" x14ac:dyDescent="0.3">
      <c r="B75" s="73" t="s">
        <v>453</v>
      </c>
      <c r="C75" s="73" t="s">
        <v>225</v>
      </c>
      <c r="D75" s="73" t="s">
        <v>41</v>
      </c>
      <c r="E75" s="73" t="s">
        <v>27</v>
      </c>
      <c r="F75" s="74" t="s">
        <v>2</v>
      </c>
      <c r="G75" s="72" t="s">
        <v>190</v>
      </c>
      <c r="H75" s="72" t="s">
        <v>297</v>
      </c>
    </row>
    <row r="76" spans="2:8" ht="75" customHeight="1" x14ac:dyDescent="0.3">
      <c r="B76" s="73" t="s">
        <v>454</v>
      </c>
      <c r="C76" s="73" t="s">
        <v>225</v>
      </c>
      <c r="D76" s="73" t="s">
        <v>41</v>
      </c>
      <c r="E76" s="73" t="s">
        <v>27</v>
      </c>
      <c r="F76" s="74" t="s">
        <v>2</v>
      </c>
      <c r="G76" s="72" t="s">
        <v>15</v>
      </c>
      <c r="H76" s="72" t="s">
        <v>298</v>
      </c>
    </row>
    <row r="77" spans="2:8" s="32" customFormat="1" ht="19.5" customHeight="1" x14ac:dyDescent="0.25">
      <c r="B77" s="78"/>
      <c r="C77" s="78"/>
      <c r="D77" s="78"/>
      <c r="E77" s="78"/>
      <c r="F77" s="79"/>
      <c r="G77" s="79"/>
      <c r="H77" s="3"/>
    </row>
    <row r="78" spans="2:8" s="32" customFormat="1" ht="30" customHeight="1" x14ac:dyDescent="0.25">
      <c r="B78" s="80"/>
      <c r="C78" s="80" t="s">
        <v>222</v>
      </c>
      <c r="D78" s="80"/>
      <c r="E78" s="78"/>
      <c r="F78" s="79"/>
      <c r="G78" s="79"/>
      <c r="H78" s="3"/>
    </row>
    <row r="79" spans="2:8" customFormat="1" ht="43.5" customHeight="1" x14ac:dyDescent="0.25">
      <c r="B79" s="35" t="s">
        <v>9</v>
      </c>
      <c r="C79" s="35" t="s">
        <v>224</v>
      </c>
      <c r="D79" s="35" t="s">
        <v>10</v>
      </c>
      <c r="E79" s="35" t="s">
        <v>11</v>
      </c>
      <c r="F79" s="36" t="s">
        <v>12</v>
      </c>
      <c r="G79" s="36" t="s">
        <v>165</v>
      </c>
      <c r="H79" s="36" t="s">
        <v>169</v>
      </c>
    </row>
    <row r="80" spans="2:8" ht="63" x14ac:dyDescent="0.3">
      <c r="B80" s="73" t="s">
        <v>455</v>
      </c>
      <c r="C80" s="73" t="s">
        <v>225</v>
      </c>
      <c r="D80" s="73" t="s">
        <v>41</v>
      </c>
      <c r="E80" s="73" t="s">
        <v>27</v>
      </c>
      <c r="F80" s="74" t="s">
        <v>2</v>
      </c>
      <c r="G80" s="72" t="s">
        <v>187</v>
      </c>
      <c r="H80" s="72" t="s">
        <v>299</v>
      </c>
    </row>
    <row r="81" spans="2:8" ht="75" customHeight="1" x14ac:dyDescent="0.3">
      <c r="B81" s="73" t="s">
        <v>456</v>
      </c>
      <c r="C81" s="73" t="s">
        <v>225</v>
      </c>
      <c r="D81" s="73" t="s">
        <v>41</v>
      </c>
      <c r="E81" s="73" t="s">
        <v>27</v>
      </c>
      <c r="F81" s="74" t="s">
        <v>2</v>
      </c>
      <c r="G81" s="72" t="s">
        <v>185</v>
      </c>
      <c r="H81" s="72" t="s">
        <v>300</v>
      </c>
    </row>
    <row r="82" spans="2:8" ht="75" customHeight="1" x14ac:dyDescent="0.3">
      <c r="B82" s="73" t="s">
        <v>457</v>
      </c>
      <c r="C82" s="73" t="s">
        <v>225</v>
      </c>
      <c r="D82" s="73" t="s">
        <v>41</v>
      </c>
      <c r="E82" s="73" t="s">
        <v>27</v>
      </c>
      <c r="F82" s="74" t="s">
        <v>2</v>
      </c>
      <c r="G82" s="72" t="s">
        <v>186</v>
      </c>
      <c r="H82" s="72" t="s">
        <v>301</v>
      </c>
    </row>
    <row r="83" spans="2:8" ht="75" customHeight="1" x14ac:dyDescent="0.3">
      <c r="B83" s="73" t="s">
        <v>458</v>
      </c>
      <c r="C83" s="73" t="s">
        <v>225</v>
      </c>
      <c r="D83" s="73" t="s">
        <v>41</v>
      </c>
      <c r="E83" s="73" t="s">
        <v>27</v>
      </c>
      <c r="F83" s="74" t="s">
        <v>2</v>
      </c>
      <c r="G83" s="72" t="s">
        <v>188</v>
      </c>
      <c r="H83" s="72" t="s">
        <v>302</v>
      </c>
    </row>
    <row r="84" spans="2:8" ht="75" customHeight="1" x14ac:dyDescent="0.3">
      <c r="B84" s="73" t="s">
        <v>459</v>
      </c>
      <c r="C84" s="73" t="s">
        <v>225</v>
      </c>
      <c r="D84" s="73" t="s">
        <v>41</v>
      </c>
      <c r="E84" s="73" t="s">
        <v>27</v>
      </c>
      <c r="F84" s="74" t="s">
        <v>2</v>
      </c>
      <c r="G84" s="72" t="s">
        <v>189</v>
      </c>
      <c r="H84" s="72" t="s">
        <v>303</v>
      </c>
    </row>
    <row r="85" spans="2:8" ht="75" customHeight="1" x14ac:dyDescent="0.3">
      <c r="B85" s="73" t="s">
        <v>460</v>
      </c>
      <c r="C85" s="73" t="s">
        <v>225</v>
      </c>
      <c r="D85" s="73" t="s">
        <v>41</v>
      </c>
      <c r="E85" s="73" t="s">
        <v>27</v>
      </c>
      <c r="F85" s="74" t="s">
        <v>2</v>
      </c>
      <c r="G85" s="72" t="s">
        <v>190</v>
      </c>
      <c r="H85" s="72" t="s">
        <v>304</v>
      </c>
    </row>
    <row r="86" spans="2:8" ht="75" customHeight="1" x14ac:dyDescent="0.3">
      <c r="B86" s="73" t="s">
        <v>461</v>
      </c>
      <c r="C86" s="73" t="s">
        <v>225</v>
      </c>
      <c r="D86" s="73" t="s">
        <v>41</v>
      </c>
      <c r="E86" s="73" t="s">
        <v>27</v>
      </c>
      <c r="F86" s="74" t="s">
        <v>2</v>
      </c>
      <c r="G86" s="72" t="s">
        <v>15</v>
      </c>
      <c r="H86" s="72" t="s">
        <v>305</v>
      </c>
    </row>
    <row r="87" spans="2:8" customFormat="1" ht="15" x14ac:dyDescent="0.25">
      <c r="B87" s="81"/>
      <c r="C87" s="81"/>
      <c r="D87" s="81"/>
      <c r="E87" s="81"/>
      <c r="F87" s="82"/>
      <c r="G87" s="82"/>
      <c r="H87" s="34"/>
    </row>
    <row r="88" spans="2:8" s="32" customFormat="1" ht="30" customHeight="1" x14ac:dyDescent="0.25">
      <c r="B88" s="80"/>
      <c r="C88" s="80" t="s">
        <v>241</v>
      </c>
      <c r="D88" s="80"/>
      <c r="E88" s="78"/>
      <c r="F88" s="79"/>
      <c r="G88" s="79"/>
      <c r="H88" s="3"/>
    </row>
    <row r="89" spans="2:8" customFormat="1" ht="43.5" customHeight="1" x14ac:dyDescent="0.25">
      <c r="B89" s="35" t="s">
        <v>9</v>
      </c>
      <c r="C89" s="35" t="s">
        <v>11</v>
      </c>
      <c r="D89" s="35" t="s">
        <v>10</v>
      </c>
      <c r="E89" s="35" t="s">
        <v>11</v>
      </c>
      <c r="F89" s="36" t="s">
        <v>12</v>
      </c>
      <c r="G89" s="36" t="s">
        <v>165</v>
      </c>
      <c r="H89" s="36" t="s">
        <v>169</v>
      </c>
    </row>
    <row r="90" spans="2:8" customFormat="1" ht="47.25" x14ac:dyDescent="0.25">
      <c r="B90" s="73" t="s">
        <v>462</v>
      </c>
      <c r="C90" s="73" t="s">
        <v>225</v>
      </c>
      <c r="D90" s="73" t="s">
        <v>41</v>
      </c>
      <c r="E90" s="73" t="s">
        <v>27</v>
      </c>
      <c r="F90" s="74" t="s">
        <v>52</v>
      </c>
      <c r="G90" s="76" t="s">
        <v>33</v>
      </c>
      <c r="H90" s="76" t="s">
        <v>306</v>
      </c>
    </row>
    <row r="91" spans="2:8" customFormat="1" ht="47.25" x14ac:dyDescent="0.25">
      <c r="B91" s="73" t="s">
        <v>463</v>
      </c>
      <c r="C91" s="73" t="s">
        <v>225</v>
      </c>
      <c r="D91" s="73" t="s">
        <v>41</v>
      </c>
      <c r="E91" s="73" t="s">
        <v>27</v>
      </c>
      <c r="F91" s="74" t="s">
        <v>52</v>
      </c>
      <c r="G91" s="76" t="s">
        <v>14</v>
      </c>
      <c r="H91" s="76" t="s">
        <v>307</v>
      </c>
    </row>
    <row r="92" spans="2:8" customFormat="1" ht="47.25" x14ac:dyDescent="0.25">
      <c r="B92" s="73" t="s">
        <v>464</v>
      </c>
      <c r="C92" s="73" t="s">
        <v>225</v>
      </c>
      <c r="D92" s="73" t="s">
        <v>41</v>
      </c>
      <c r="E92" s="73" t="s">
        <v>27</v>
      </c>
      <c r="F92" s="74" t="s">
        <v>52</v>
      </c>
      <c r="G92" s="76" t="s">
        <v>154</v>
      </c>
      <c r="H92" s="76" t="s">
        <v>308</v>
      </c>
    </row>
    <row r="93" spans="2:8" customFormat="1" ht="47.25" x14ac:dyDescent="0.25">
      <c r="B93" s="73" t="s">
        <v>465</v>
      </c>
      <c r="C93" s="73" t="s">
        <v>225</v>
      </c>
      <c r="D93" s="73" t="s">
        <v>41</v>
      </c>
      <c r="E93" s="73" t="s">
        <v>27</v>
      </c>
      <c r="F93" s="74" t="s">
        <v>52</v>
      </c>
      <c r="G93" s="76" t="s">
        <v>226</v>
      </c>
      <c r="H93" s="76" t="s">
        <v>309</v>
      </c>
    </row>
    <row r="94" spans="2:8" customFormat="1" ht="15" x14ac:dyDescent="0.25">
      <c r="B94" s="81"/>
      <c r="C94" s="81"/>
      <c r="D94" s="81"/>
      <c r="E94" s="81"/>
      <c r="F94" s="82"/>
      <c r="G94" s="82"/>
      <c r="H94" s="34"/>
    </row>
    <row r="95" spans="2:8" s="32" customFormat="1" ht="30" customHeight="1" x14ac:dyDescent="0.25">
      <c r="B95" s="80"/>
      <c r="C95" s="80" t="s">
        <v>242</v>
      </c>
      <c r="D95" s="80"/>
      <c r="E95" s="78"/>
      <c r="F95" s="79"/>
      <c r="G95" s="79"/>
      <c r="H95" s="3"/>
    </row>
    <row r="96" spans="2:8" customFormat="1" ht="43.5" customHeight="1" x14ac:dyDescent="0.25">
      <c r="B96" s="35" t="s">
        <v>9</v>
      </c>
      <c r="C96" s="35" t="s">
        <v>11</v>
      </c>
      <c r="D96" s="35" t="s">
        <v>10</v>
      </c>
      <c r="E96" s="35" t="s">
        <v>11</v>
      </c>
      <c r="F96" s="36" t="s">
        <v>12</v>
      </c>
      <c r="G96" s="36" t="s">
        <v>165</v>
      </c>
      <c r="H96" s="36" t="s">
        <v>169</v>
      </c>
    </row>
    <row r="97" spans="2:8" customFormat="1" ht="47.25" x14ac:dyDescent="0.25">
      <c r="B97" s="73" t="s">
        <v>466</v>
      </c>
      <c r="C97" s="73" t="s">
        <v>225</v>
      </c>
      <c r="D97" s="73" t="s">
        <v>41</v>
      </c>
      <c r="E97" s="73" t="s">
        <v>27</v>
      </c>
      <c r="F97" s="74" t="s">
        <v>52</v>
      </c>
      <c r="G97" s="76" t="s">
        <v>150</v>
      </c>
      <c r="H97" s="76" t="s">
        <v>310</v>
      </c>
    </row>
    <row r="98" spans="2:8" customFormat="1" ht="31.5" x14ac:dyDescent="0.25">
      <c r="B98" s="73" t="s">
        <v>467</v>
      </c>
      <c r="C98" s="73" t="s">
        <v>225</v>
      </c>
      <c r="D98" s="73" t="s">
        <v>41</v>
      </c>
      <c r="E98" s="73" t="s">
        <v>27</v>
      </c>
      <c r="F98" s="74" t="s">
        <v>52</v>
      </c>
      <c r="G98" s="76" t="s">
        <v>33</v>
      </c>
      <c r="H98" s="76" t="s">
        <v>311</v>
      </c>
    </row>
    <row r="99" spans="2:8" customFormat="1" ht="31.5" x14ac:dyDescent="0.25">
      <c r="B99" s="73" t="s">
        <v>468</v>
      </c>
      <c r="C99" s="73" t="s">
        <v>225</v>
      </c>
      <c r="D99" s="73" t="s">
        <v>41</v>
      </c>
      <c r="E99" s="73" t="s">
        <v>27</v>
      </c>
      <c r="F99" s="74" t="s">
        <v>52</v>
      </c>
      <c r="G99" s="76" t="s">
        <v>152</v>
      </c>
      <c r="H99" s="76" t="s">
        <v>312</v>
      </c>
    </row>
    <row r="100" spans="2:8" customFormat="1" ht="47.25" x14ac:dyDescent="0.25">
      <c r="B100" s="73" t="s">
        <v>469</v>
      </c>
      <c r="C100" s="73" t="s">
        <v>225</v>
      </c>
      <c r="D100" s="73" t="s">
        <v>41</v>
      </c>
      <c r="E100" s="73" t="s">
        <v>27</v>
      </c>
      <c r="F100" s="74" t="s">
        <v>52</v>
      </c>
      <c r="G100" s="76" t="s">
        <v>151</v>
      </c>
      <c r="H100" s="76" t="s">
        <v>313</v>
      </c>
    </row>
    <row r="101" spans="2:8" customFormat="1" ht="31.5" x14ac:dyDescent="0.25">
      <c r="B101" s="73" t="s">
        <v>470</v>
      </c>
      <c r="C101" s="73" t="s">
        <v>225</v>
      </c>
      <c r="D101" s="73" t="s">
        <v>41</v>
      </c>
      <c r="E101" s="73" t="s">
        <v>27</v>
      </c>
      <c r="F101" s="74" t="s">
        <v>52</v>
      </c>
      <c r="G101" s="76" t="s">
        <v>153</v>
      </c>
      <c r="H101" s="76" t="s">
        <v>314</v>
      </c>
    </row>
    <row r="102" spans="2:8" customFormat="1" ht="47.25" x14ac:dyDescent="0.25">
      <c r="B102" s="73" t="s">
        <v>471</v>
      </c>
      <c r="C102" s="73" t="s">
        <v>225</v>
      </c>
      <c r="D102" s="73" t="s">
        <v>41</v>
      </c>
      <c r="E102" s="73" t="s">
        <v>27</v>
      </c>
      <c r="F102" s="74" t="s">
        <v>52</v>
      </c>
      <c r="G102" s="76" t="s">
        <v>154</v>
      </c>
      <c r="H102" s="76" t="s">
        <v>315</v>
      </c>
    </row>
    <row r="103" spans="2:8" customFormat="1" ht="47.25" x14ac:dyDescent="0.25">
      <c r="B103" s="73" t="s">
        <v>472</v>
      </c>
      <c r="C103" s="73" t="s">
        <v>225</v>
      </c>
      <c r="D103" s="73" t="s">
        <v>41</v>
      </c>
      <c r="E103" s="73" t="s">
        <v>27</v>
      </c>
      <c r="F103" s="74" t="s">
        <v>52</v>
      </c>
      <c r="G103" s="76" t="s">
        <v>226</v>
      </c>
      <c r="H103" s="76" t="s">
        <v>309</v>
      </c>
    </row>
    <row r="104" spans="2:8" customFormat="1" ht="15" x14ac:dyDescent="0.25">
      <c r="B104" s="81"/>
      <c r="C104" s="81"/>
      <c r="D104" s="81"/>
      <c r="E104" s="81"/>
      <c r="F104" s="82"/>
      <c r="G104" s="82"/>
      <c r="H104" s="34"/>
    </row>
    <row r="105" spans="2:8" s="32" customFormat="1" ht="30" customHeight="1" x14ac:dyDescent="0.25">
      <c r="B105" s="80"/>
      <c r="C105" s="80" t="s">
        <v>243</v>
      </c>
      <c r="D105" s="80"/>
      <c r="E105" s="78"/>
      <c r="F105" s="79"/>
      <c r="G105" s="79"/>
      <c r="H105" s="3"/>
    </row>
    <row r="106" spans="2:8" customFormat="1" ht="43.5" customHeight="1" x14ac:dyDescent="0.25">
      <c r="B106" s="35" t="s">
        <v>9</v>
      </c>
      <c r="C106" s="35" t="s">
        <v>11</v>
      </c>
      <c r="D106" s="35" t="s">
        <v>10</v>
      </c>
      <c r="E106" s="35" t="s">
        <v>11</v>
      </c>
      <c r="F106" s="36" t="s">
        <v>12</v>
      </c>
      <c r="G106" s="36" t="s">
        <v>165</v>
      </c>
      <c r="H106" s="36" t="s">
        <v>169</v>
      </c>
    </row>
    <row r="107" spans="2:8" customFormat="1" ht="31.5" x14ac:dyDescent="0.25">
      <c r="B107" s="73" t="s">
        <v>473</v>
      </c>
      <c r="C107" s="73" t="s">
        <v>225</v>
      </c>
      <c r="D107" s="73" t="s">
        <v>41</v>
      </c>
      <c r="E107" s="73" t="s">
        <v>27</v>
      </c>
      <c r="F107" s="74" t="s">
        <v>52</v>
      </c>
      <c r="G107" s="76" t="s">
        <v>142</v>
      </c>
      <c r="H107" s="76" t="s">
        <v>316</v>
      </c>
    </row>
    <row r="108" spans="2:8" customFormat="1" ht="47.25" x14ac:dyDescent="0.25">
      <c r="B108" s="73" t="s">
        <v>474</v>
      </c>
      <c r="C108" s="73" t="s">
        <v>225</v>
      </c>
      <c r="D108" s="73" t="s">
        <v>41</v>
      </c>
      <c r="E108" s="73" t="s">
        <v>27</v>
      </c>
      <c r="F108" s="74" t="s">
        <v>52</v>
      </c>
      <c r="G108" s="76" t="s">
        <v>143</v>
      </c>
      <c r="H108" s="76" t="s">
        <v>317</v>
      </c>
    </row>
    <row r="109" spans="2:8" customFormat="1" ht="47.25" x14ac:dyDescent="0.25">
      <c r="B109" s="73" t="s">
        <v>475</v>
      </c>
      <c r="C109" s="73" t="s">
        <v>225</v>
      </c>
      <c r="D109" s="73" t="s">
        <v>41</v>
      </c>
      <c r="E109" s="73" t="s">
        <v>27</v>
      </c>
      <c r="F109" s="74" t="s">
        <v>52</v>
      </c>
      <c r="G109" s="76" t="s">
        <v>144</v>
      </c>
      <c r="H109" s="76" t="s">
        <v>318</v>
      </c>
    </row>
    <row r="110" spans="2:8" customFormat="1" ht="47.25" x14ac:dyDescent="0.25">
      <c r="B110" s="73" t="s">
        <v>476</v>
      </c>
      <c r="C110" s="73" t="s">
        <v>225</v>
      </c>
      <c r="D110" s="73" t="s">
        <v>41</v>
      </c>
      <c r="E110" s="73" t="s">
        <v>27</v>
      </c>
      <c r="F110" s="74" t="s">
        <v>52</v>
      </c>
      <c r="G110" s="76" t="s">
        <v>149</v>
      </c>
      <c r="H110" s="76" t="s">
        <v>319</v>
      </c>
    </row>
    <row r="111" spans="2:8" customFormat="1" ht="31.5" x14ac:dyDescent="0.25">
      <c r="B111" s="73" t="s">
        <v>477</v>
      </c>
      <c r="C111" s="73" t="s">
        <v>225</v>
      </c>
      <c r="D111" s="73" t="s">
        <v>41</v>
      </c>
      <c r="E111" s="73" t="s">
        <v>27</v>
      </c>
      <c r="F111" s="74" t="s">
        <v>52</v>
      </c>
      <c r="G111" s="76" t="s">
        <v>145</v>
      </c>
      <c r="H111" s="76" t="s">
        <v>320</v>
      </c>
    </row>
    <row r="112" spans="2:8" customFormat="1" ht="47.25" x14ac:dyDescent="0.25">
      <c r="B112" s="73" t="s">
        <v>478</v>
      </c>
      <c r="C112" s="73" t="s">
        <v>225</v>
      </c>
      <c r="D112" s="73" t="s">
        <v>41</v>
      </c>
      <c r="E112" s="73" t="s">
        <v>27</v>
      </c>
      <c r="F112" s="74" t="s">
        <v>52</v>
      </c>
      <c r="G112" s="76" t="s">
        <v>133</v>
      </c>
      <c r="H112" s="76" t="s">
        <v>321</v>
      </c>
    </row>
    <row r="113" spans="2:8" customFormat="1" ht="47.25" x14ac:dyDescent="0.25">
      <c r="B113" s="73" t="s">
        <v>479</v>
      </c>
      <c r="C113" s="73" t="s">
        <v>225</v>
      </c>
      <c r="D113" s="73" t="s">
        <v>41</v>
      </c>
      <c r="E113" s="73" t="s">
        <v>27</v>
      </c>
      <c r="F113" s="74" t="s">
        <v>52</v>
      </c>
      <c r="G113" s="76" t="s">
        <v>146</v>
      </c>
      <c r="H113" s="76" t="s">
        <v>322</v>
      </c>
    </row>
    <row r="114" spans="2:8" customFormat="1" ht="47.25" x14ac:dyDescent="0.25">
      <c r="B114" s="73" t="s">
        <v>480</v>
      </c>
      <c r="C114" s="73" t="s">
        <v>225</v>
      </c>
      <c r="D114" s="73" t="s">
        <v>41</v>
      </c>
      <c r="E114" s="73" t="s">
        <v>27</v>
      </c>
      <c r="F114" s="74" t="s">
        <v>52</v>
      </c>
      <c r="G114" s="76" t="s">
        <v>147</v>
      </c>
      <c r="H114" s="76" t="s">
        <v>323</v>
      </c>
    </row>
    <row r="115" spans="2:8" customFormat="1" ht="47.25" x14ac:dyDescent="0.25">
      <c r="B115" s="73" t="s">
        <v>481</v>
      </c>
      <c r="C115" s="73" t="s">
        <v>225</v>
      </c>
      <c r="D115" s="73" t="s">
        <v>41</v>
      </c>
      <c r="E115" s="73" t="s">
        <v>27</v>
      </c>
      <c r="F115" s="74" t="s">
        <v>52</v>
      </c>
      <c r="G115" s="76" t="s">
        <v>148</v>
      </c>
      <c r="H115" s="76" t="s">
        <v>324</v>
      </c>
    </row>
    <row r="116" spans="2:8" customFormat="1" ht="47.25" x14ac:dyDescent="0.25">
      <c r="B116" s="73" t="s">
        <v>482</v>
      </c>
      <c r="C116" s="73" t="s">
        <v>225</v>
      </c>
      <c r="D116" s="73" t="s">
        <v>41</v>
      </c>
      <c r="E116" s="73" t="s">
        <v>27</v>
      </c>
      <c r="F116" s="74" t="s">
        <v>52</v>
      </c>
      <c r="G116" s="76" t="s">
        <v>226</v>
      </c>
      <c r="H116" s="76" t="s">
        <v>309</v>
      </c>
    </row>
    <row r="117" spans="2:8" customFormat="1" ht="15" x14ac:dyDescent="0.25">
      <c r="B117" s="81"/>
      <c r="C117" s="81"/>
      <c r="D117" s="81"/>
      <c r="E117" s="81"/>
      <c r="F117" s="82"/>
      <c r="G117" s="82"/>
      <c r="H117" s="34"/>
    </row>
    <row r="118" spans="2:8" s="32" customFormat="1" ht="30" customHeight="1" x14ac:dyDescent="0.25">
      <c r="B118" s="80"/>
      <c r="C118" s="80" t="s">
        <v>244</v>
      </c>
      <c r="D118" s="80"/>
      <c r="E118" s="78"/>
      <c r="F118" s="79"/>
      <c r="G118" s="79"/>
      <c r="H118" s="3"/>
    </row>
    <row r="119" spans="2:8" customFormat="1" ht="43.5" customHeight="1" x14ac:dyDescent="0.25">
      <c r="B119" s="35" t="s">
        <v>9</v>
      </c>
      <c r="C119" s="35" t="s">
        <v>11</v>
      </c>
      <c r="D119" s="35" t="s">
        <v>10</v>
      </c>
      <c r="E119" s="35" t="s">
        <v>11</v>
      </c>
      <c r="F119" s="36" t="s">
        <v>12</v>
      </c>
      <c r="G119" s="36" t="s">
        <v>165</v>
      </c>
      <c r="H119" s="36" t="s">
        <v>169</v>
      </c>
    </row>
    <row r="120" spans="2:8" customFormat="1" ht="72" customHeight="1" x14ac:dyDescent="0.25">
      <c r="B120" s="73" t="s">
        <v>483</v>
      </c>
      <c r="C120" s="73" t="s">
        <v>225</v>
      </c>
      <c r="D120" s="73" t="s">
        <v>41</v>
      </c>
      <c r="E120" s="73" t="s">
        <v>27</v>
      </c>
      <c r="F120" s="74" t="s">
        <v>52</v>
      </c>
      <c r="G120" s="76" t="s">
        <v>227</v>
      </c>
      <c r="H120" s="76" t="s">
        <v>325</v>
      </c>
    </row>
    <row r="121" spans="2:8" customFormat="1" ht="63" x14ac:dyDescent="0.25">
      <c r="B121" s="73" t="s">
        <v>484</v>
      </c>
      <c r="C121" s="73" t="s">
        <v>225</v>
      </c>
      <c r="D121" s="73" t="s">
        <v>41</v>
      </c>
      <c r="E121" s="73" t="s">
        <v>27</v>
      </c>
      <c r="F121" s="74" t="s">
        <v>52</v>
      </c>
      <c r="G121" s="76" t="s">
        <v>228</v>
      </c>
      <c r="H121" s="76" t="s">
        <v>326</v>
      </c>
    </row>
    <row r="122" spans="2:8" customFormat="1" ht="63" x14ac:dyDescent="0.25">
      <c r="B122" s="73" t="s">
        <v>485</v>
      </c>
      <c r="C122" s="73" t="s">
        <v>225</v>
      </c>
      <c r="D122" s="73" t="s">
        <v>41</v>
      </c>
      <c r="E122" s="73" t="s">
        <v>27</v>
      </c>
      <c r="F122" s="74" t="s">
        <v>52</v>
      </c>
      <c r="G122" s="76" t="s">
        <v>229</v>
      </c>
      <c r="H122" s="76" t="s">
        <v>327</v>
      </c>
    </row>
    <row r="123" spans="2:8" customFormat="1" ht="94.5" x14ac:dyDescent="0.25">
      <c r="B123" s="73" t="s">
        <v>486</v>
      </c>
      <c r="C123" s="73" t="s">
        <v>225</v>
      </c>
      <c r="D123" s="73" t="s">
        <v>41</v>
      </c>
      <c r="E123" s="73" t="s">
        <v>27</v>
      </c>
      <c r="F123" s="74" t="s">
        <v>52</v>
      </c>
      <c r="G123" s="76" t="s">
        <v>230</v>
      </c>
      <c r="H123" s="76" t="s">
        <v>328</v>
      </c>
    </row>
    <row r="124" spans="2:8" customFormat="1" ht="63" x14ac:dyDescent="0.25">
      <c r="B124" s="73" t="s">
        <v>487</v>
      </c>
      <c r="C124" s="73" t="s">
        <v>225</v>
      </c>
      <c r="D124" s="73" t="s">
        <v>41</v>
      </c>
      <c r="E124" s="73" t="s">
        <v>27</v>
      </c>
      <c r="F124" s="74" t="s">
        <v>52</v>
      </c>
      <c r="G124" s="76" t="s">
        <v>231</v>
      </c>
      <c r="H124" s="76" t="s">
        <v>329</v>
      </c>
    </row>
    <row r="125" spans="2:8" customFormat="1" ht="126" x14ac:dyDescent="0.25">
      <c r="B125" s="73" t="s">
        <v>488</v>
      </c>
      <c r="C125" s="73" t="s">
        <v>225</v>
      </c>
      <c r="D125" s="73" t="s">
        <v>41</v>
      </c>
      <c r="E125" s="73" t="s">
        <v>27</v>
      </c>
      <c r="F125" s="74" t="s">
        <v>52</v>
      </c>
      <c r="G125" s="76" t="s">
        <v>697</v>
      </c>
      <c r="H125" s="76" t="s">
        <v>330</v>
      </c>
    </row>
    <row r="126" spans="2:8" customFormat="1" ht="47.25" x14ac:dyDescent="0.25">
      <c r="B126" s="73" t="s">
        <v>489</v>
      </c>
      <c r="C126" s="73" t="s">
        <v>225</v>
      </c>
      <c r="D126" s="73" t="s">
        <v>41</v>
      </c>
      <c r="E126" s="73" t="s">
        <v>27</v>
      </c>
      <c r="F126" s="74" t="s">
        <v>52</v>
      </c>
      <c r="G126" s="76" t="s">
        <v>232</v>
      </c>
      <c r="H126" s="76" t="s">
        <v>331</v>
      </c>
    </row>
    <row r="127" spans="2:8" customFormat="1" ht="31.5" x14ac:dyDescent="0.25">
      <c r="B127" s="73" t="s">
        <v>490</v>
      </c>
      <c r="C127" s="73" t="s">
        <v>225</v>
      </c>
      <c r="D127" s="73" t="s">
        <v>41</v>
      </c>
      <c r="E127" s="73" t="s">
        <v>27</v>
      </c>
      <c r="F127" s="74" t="s">
        <v>52</v>
      </c>
      <c r="G127" s="76" t="s">
        <v>233</v>
      </c>
      <c r="H127" s="76" t="s">
        <v>332</v>
      </c>
    </row>
    <row r="128" spans="2:8" customFormat="1" ht="47.25" x14ac:dyDescent="0.25">
      <c r="B128" s="73" t="s">
        <v>491</v>
      </c>
      <c r="C128" s="73" t="s">
        <v>225</v>
      </c>
      <c r="D128" s="73" t="s">
        <v>41</v>
      </c>
      <c r="E128" s="73" t="s">
        <v>27</v>
      </c>
      <c r="F128" s="74" t="s">
        <v>52</v>
      </c>
      <c r="G128" s="76" t="s">
        <v>234</v>
      </c>
      <c r="H128" s="76" t="s">
        <v>333</v>
      </c>
    </row>
    <row r="129" spans="2:8" customFormat="1" ht="47.25" x14ac:dyDescent="0.25">
      <c r="B129" s="73" t="s">
        <v>492</v>
      </c>
      <c r="C129" s="73" t="s">
        <v>225</v>
      </c>
      <c r="D129" s="73" t="s">
        <v>41</v>
      </c>
      <c r="E129" s="73" t="s">
        <v>27</v>
      </c>
      <c r="F129" s="74" t="s">
        <v>52</v>
      </c>
      <c r="G129" s="76" t="s">
        <v>235</v>
      </c>
      <c r="H129" s="76" t="s">
        <v>334</v>
      </c>
    </row>
    <row r="130" spans="2:8" customFormat="1" ht="31.5" x14ac:dyDescent="0.25">
      <c r="B130" s="73" t="s">
        <v>493</v>
      </c>
      <c r="C130" s="73" t="s">
        <v>225</v>
      </c>
      <c r="D130" s="73" t="s">
        <v>41</v>
      </c>
      <c r="E130" s="73" t="s">
        <v>27</v>
      </c>
      <c r="F130" s="74" t="s">
        <v>52</v>
      </c>
      <c r="G130" s="76" t="s">
        <v>236</v>
      </c>
      <c r="H130" s="76" t="s">
        <v>335</v>
      </c>
    </row>
    <row r="131" spans="2:8" customFormat="1" ht="31.5" x14ac:dyDescent="0.25">
      <c r="B131" s="73" t="s">
        <v>494</v>
      </c>
      <c r="C131" s="73" t="s">
        <v>225</v>
      </c>
      <c r="D131" s="73" t="s">
        <v>41</v>
      </c>
      <c r="E131" s="73" t="s">
        <v>27</v>
      </c>
      <c r="F131" s="74" t="s">
        <v>52</v>
      </c>
      <c r="G131" s="76" t="s">
        <v>237</v>
      </c>
      <c r="H131" s="76" t="s">
        <v>336</v>
      </c>
    </row>
    <row r="132" spans="2:8" customFormat="1" ht="31.5" x14ac:dyDescent="0.25">
      <c r="B132" s="73" t="s">
        <v>495</v>
      </c>
      <c r="C132" s="73" t="s">
        <v>225</v>
      </c>
      <c r="D132" s="73" t="s">
        <v>41</v>
      </c>
      <c r="E132" s="73" t="s">
        <v>27</v>
      </c>
      <c r="F132" s="74" t="s">
        <v>52</v>
      </c>
      <c r="G132" s="76" t="s">
        <v>238</v>
      </c>
      <c r="H132" s="76" t="s">
        <v>337</v>
      </c>
    </row>
    <row r="133" spans="2:8" customFormat="1" ht="31.5" x14ac:dyDescent="0.25">
      <c r="B133" s="73" t="s">
        <v>496</v>
      </c>
      <c r="C133" s="73" t="s">
        <v>225</v>
      </c>
      <c r="D133" s="73" t="s">
        <v>41</v>
      </c>
      <c r="E133" s="73" t="s">
        <v>27</v>
      </c>
      <c r="F133" s="74" t="s">
        <v>52</v>
      </c>
      <c r="G133" s="76" t="s">
        <v>239</v>
      </c>
      <c r="H133" s="76" t="s">
        <v>338</v>
      </c>
    </row>
    <row r="134" spans="2:8" customFormat="1" ht="47.25" x14ac:dyDescent="0.25">
      <c r="B134" s="73" t="s">
        <v>497</v>
      </c>
      <c r="C134" s="73" t="s">
        <v>225</v>
      </c>
      <c r="D134" s="73" t="s">
        <v>41</v>
      </c>
      <c r="E134" s="73" t="s">
        <v>27</v>
      </c>
      <c r="F134" s="74" t="s">
        <v>52</v>
      </c>
      <c r="G134" s="76" t="s">
        <v>240</v>
      </c>
      <c r="H134" s="76" t="s">
        <v>309</v>
      </c>
    </row>
    <row r="135" spans="2:8" customFormat="1" ht="39.75" customHeight="1" x14ac:dyDescent="0.25">
      <c r="B135" s="73" t="s">
        <v>698</v>
      </c>
      <c r="C135" s="73" t="s">
        <v>225</v>
      </c>
      <c r="D135" s="73" t="s">
        <v>41</v>
      </c>
      <c r="E135" s="73" t="s">
        <v>27</v>
      </c>
      <c r="F135" s="74" t="s">
        <v>52</v>
      </c>
      <c r="G135" s="76" t="s">
        <v>699</v>
      </c>
      <c r="H135" s="76" t="s">
        <v>700</v>
      </c>
    </row>
    <row r="137" spans="2:8" ht="27.75" x14ac:dyDescent="0.3">
      <c r="B137" s="87" t="s">
        <v>498</v>
      </c>
      <c r="C137" s="87"/>
      <c r="D137" s="32"/>
      <c r="E137" s="3"/>
      <c r="F137" s="3"/>
      <c r="G137" s="3"/>
      <c r="H137" s="3"/>
    </row>
    <row r="138" spans="2:8" x14ac:dyDescent="0.3">
      <c r="B138" s="35" t="s">
        <v>9</v>
      </c>
      <c r="C138" s="35" t="s">
        <v>11</v>
      </c>
      <c r="D138" s="35" t="s">
        <v>10</v>
      </c>
      <c r="E138" s="35" t="s">
        <v>11</v>
      </c>
      <c r="F138" s="36" t="s">
        <v>12</v>
      </c>
      <c r="G138" s="36" t="s">
        <v>165</v>
      </c>
      <c r="H138" s="36" t="s">
        <v>169</v>
      </c>
    </row>
    <row r="139" spans="2:8" ht="47.25" x14ac:dyDescent="0.3">
      <c r="B139" s="88" t="s">
        <v>519</v>
      </c>
      <c r="C139" s="88" t="s">
        <v>225</v>
      </c>
      <c r="D139" s="88" t="s">
        <v>41</v>
      </c>
      <c r="E139" s="89" t="s">
        <v>27</v>
      </c>
      <c r="F139" s="89" t="s">
        <v>52</v>
      </c>
      <c r="G139" s="90" t="s">
        <v>499</v>
      </c>
      <c r="H139" s="90" t="s">
        <v>569</v>
      </c>
    </row>
    <row r="140" spans="2:8" ht="47.25" x14ac:dyDescent="0.3">
      <c r="B140" s="91" t="s">
        <v>519</v>
      </c>
      <c r="C140" s="91" t="s">
        <v>225</v>
      </c>
      <c r="D140" s="91" t="s">
        <v>41</v>
      </c>
      <c r="E140" s="92" t="s">
        <v>27</v>
      </c>
      <c r="F140" s="92" t="s">
        <v>52</v>
      </c>
      <c r="G140" s="93" t="s">
        <v>570</v>
      </c>
      <c r="H140" s="93" t="s">
        <v>571</v>
      </c>
    </row>
    <row r="141" spans="2:8" ht="47.25" x14ac:dyDescent="0.3">
      <c r="B141" s="91" t="s">
        <v>520</v>
      </c>
      <c r="C141" s="91" t="s">
        <v>225</v>
      </c>
      <c r="D141" s="91" t="s">
        <v>41</v>
      </c>
      <c r="E141" s="92" t="s">
        <v>27</v>
      </c>
      <c r="F141" s="92" t="s">
        <v>52</v>
      </c>
      <c r="G141" s="93" t="s">
        <v>529</v>
      </c>
      <c r="H141" s="93" t="s">
        <v>572</v>
      </c>
    </row>
    <row r="142" spans="2:8" ht="47.25" x14ac:dyDescent="0.3">
      <c r="B142" s="91" t="s">
        <v>521</v>
      </c>
      <c r="C142" s="91" t="s">
        <v>225</v>
      </c>
      <c r="D142" s="91" t="s">
        <v>41</v>
      </c>
      <c r="E142" s="92" t="s">
        <v>27</v>
      </c>
      <c r="F142" s="92" t="s">
        <v>52</v>
      </c>
      <c r="G142" s="93" t="s">
        <v>532</v>
      </c>
      <c r="H142" s="93" t="s">
        <v>573</v>
      </c>
    </row>
    <row r="143" spans="2:8" ht="47.25" x14ac:dyDescent="0.3">
      <c r="B143" s="91" t="s">
        <v>522</v>
      </c>
      <c r="C143" s="91" t="s">
        <v>225</v>
      </c>
      <c r="D143" s="91" t="s">
        <v>41</v>
      </c>
      <c r="E143" s="92" t="s">
        <v>27</v>
      </c>
      <c r="F143" s="92" t="s">
        <v>52</v>
      </c>
      <c r="G143" s="93" t="s">
        <v>535</v>
      </c>
      <c r="H143" s="93" t="s">
        <v>574</v>
      </c>
    </row>
    <row r="144" spans="2:8" ht="47.25" x14ac:dyDescent="0.3">
      <c r="B144" s="91" t="s">
        <v>523</v>
      </c>
      <c r="C144" s="91" t="s">
        <v>225</v>
      </c>
      <c r="D144" s="91" t="s">
        <v>41</v>
      </c>
      <c r="E144" s="92" t="s">
        <v>27</v>
      </c>
      <c r="F144" s="92" t="s">
        <v>52</v>
      </c>
      <c r="G144" s="93" t="s">
        <v>537</v>
      </c>
      <c r="H144" s="93" t="s">
        <v>575</v>
      </c>
    </row>
    <row r="145" spans="2:8" ht="31.5" x14ac:dyDescent="0.3">
      <c r="B145" s="91" t="s">
        <v>524</v>
      </c>
      <c r="C145" s="91" t="s">
        <v>225</v>
      </c>
      <c r="D145" s="91" t="s">
        <v>41</v>
      </c>
      <c r="E145" s="92" t="s">
        <v>27</v>
      </c>
      <c r="F145" s="92" t="s">
        <v>52</v>
      </c>
      <c r="G145" s="93" t="s">
        <v>542</v>
      </c>
      <c r="H145" s="93" t="s">
        <v>576</v>
      </c>
    </row>
    <row r="146" spans="2:8" ht="31.5" x14ac:dyDescent="0.3">
      <c r="B146" s="91" t="s">
        <v>525</v>
      </c>
      <c r="C146" s="94" t="s">
        <v>225</v>
      </c>
      <c r="D146" s="94" t="s">
        <v>41</v>
      </c>
      <c r="E146" s="95" t="s">
        <v>27</v>
      </c>
      <c r="F146" s="95" t="s">
        <v>52</v>
      </c>
      <c r="G146" s="96" t="s">
        <v>544</v>
      </c>
      <c r="H146" s="96" t="s">
        <v>577</v>
      </c>
    </row>
    <row r="147" spans="2:8" ht="63" x14ac:dyDescent="0.3">
      <c r="B147" s="97" t="s">
        <v>526</v>
      </c>
      <c r="C147" s="97" t="s">
        <v>225</v>
      </c>
      <c r="D147" s="97" t="s">
        <v>41</v>
      </c>
      <c r="E147" s="98" t="s">
        <v>27</v>
      </c>
      <c r="F147" s="98" t="s">
        <v>52</v>
      </c>
      <c r="G147" s="99" t="s">
        <v>549</v>
      </c>
      <c r="H147" s="99" t="s">
        <v>578</v>
      </c>
    </row>
    <row r="149" spans="2:8" ht="27.75" x14ac:dyDescent="0.3">
      <c r="B149" s="87" t="s">
        <v>567</v>
      </c>
      <c r="C149" s="87"/>
      <c r="D149" s="32"/>
      <c r="E149" s="3"/>
      <c r="F149" s="3"/>
      <c r="G149" s="3"/>
      <c r="H149" s="3"/>
    </row>
    <row r="150" spans="2:8" x14ac:dyDescent="0.3">
      <c r="B150" s="35" t="s">
        <v>9</v>
      </c>
      <c r="C150" s="35" t="s">
        <v>11</v>
      </c>
      <c r="D150" s="35" t="s">
        <v>10</v>
      </c>
      <c r="E150" s="35" t="s">
        <v>11</v>
      </c>
      <c r="F150" s="36" t="s">
        <v>12</v>
      </c>
      <c r="G150" s="36" t="s">
        <v>165</v>
      </c>
      <c r="H150" s="36" t="s">
        <v>169</v>
      </c>
    </row>
    <row r="151" spans="2:8" ht="47.25" x14ac:dyDescent="0.3">
      <c r="B151" s="88" t="s">
        <v>555</v>
      </c>
      <c r="C151" s="88" t="s">
        <v>225</v>
      </c>
      <c r="D151" s="88" t="s">
        <v>41</v>
      </c>
      <c r="E151" s="89" t="s">
        <v>27</v>
      </c>
      <c r="F151" s="89" t="s">
        <v>52</v>
      </c>
      <c r="G151" s="90" t="s">
        <v>499</v>
      </c>
      <c r="H151" s="90" t="s">
        <v>500</v>
      </c>
    </row>
    <row r="152" spans="2:8" ht="47.25" x14ac:dyDescent="0.3">
      <c r="B152" s="91" t="s">
        <v>579</v>
      </c>
      <c r="C152" s="91" t="s">
        <v>225</v>
      </c>
      <c r="D152" s="91" t="s">
        <v>41</v>
      </c>
      <c r="E152" s="92" t="s">
        <v>27</v>
      </c>
      <c r="F152" s="92" t="s">
        <v>52</v>
      </c>
      <c r="G152" s="93" t="s">
        <v>501</v>
      </c>
      <c r="H152" s="93" t="s">
        <v>502</v>
      </c>
    </row>
    <row r="153" spans="2:8" ht="47.25" x14ac:dyDescent="0.3">
      <c r="B153" s="91" t="s">
        <v>580</v>
      </c>
      <c r="C153" s="91" t="s">
        <v>225</v>
      </c>
      <c r="D153" s="91" t="s">
        <v>41</v>
      </c>
      <c r="E153" s="92" t="s">
        <v>27</v>
      </c>
      <c r="F153" s="92" t="s">
        <v>52</v>
      </c>
      <c r="G153" s="93" t="s">
        <v>503</v>
      </c>
      <c r="H153" s="93" t="s">
        <v>504</v>
      </c>
    </row>
    <row r="154" spans="2:8" ht="47.25" x14ac:dyDescent="0.3">
      <c r="B154" s="91" t="s">
        <v>581</v>
      </c>
      <c r="C154" s="91" t="s">
        <v>225</v>
      </c>
      <c r="D154" s="91" t="s">
        <v>41</v>
      </c>
      <c r="E154" s="92" t="s">
        <v>27</v>
      </c>
      <c r="F154" s="92" t="s">
        <v>52</v>
      </c>
      <c r="G154" s="93" t="s">
        <v>505</v>
      </c>
      <c r="H154" s="93" t="s">
        <v>506</v>
      </c>
    </row>
    <row r="155" spans="2:8" ht="47.25" x14ac:dyDescent="0.3">
      <c r="B155" s="91" t="s">
        <v>582</v>
      </c>
      <c r="C155" s="91" t="s">
        <v>225</v>
      </c>
      <c r="D155" s="91" t="s">
        <v>41</v>
      </c>
      <c r="E155" s="92" t="s">
        <v>27</v>
      </c>
      <c r="F155" s="92" t="s">
        <v>52</v>
      </c>
      <c r="G155" s="93" t="s">
        <v>507</v>
      </c>
      <c r="H155" s="93" t="s">
        <v>508</v>
      </c>
    </row>
    <row r="156" spans="2:8" ht="78.75" x14ac:dyDescent="0.3">
      <c r="B156" s="91" t="s">
        <v>583</v>
      </c>
      <c r="C156" s="91" t="s">
        <v>225</v>
      </c>
      <c r="D156" s="91" t="s">
        <v>41</v>
      </c>
      <c r="E156" s="92" t="s">
        <v>27</v>
      </c>
      <c r="F156" s="92" t="s">
        <v>52</v>
      </c>
      <c r="G156" s="93" t="s">
        <v>509</v>
      </c>
      <c r="H156" s="93" t="s">
        <v>510</v>
      </c>
    </row>
    <row r="157" spans="2:8" ht="63" x14ac:dyDescent="0.3">
      <c r="B157" s="91" t="s">
        <v>584</v>
      </c>
      <c r="C157" s="91" t="s">
        <v>225</v>
      </c>
      <c r="D157" s="91" t="s">
        <v>41</v>
      </c>
      <c r="E157" s="92" t="s">
        <v>27</v>
      </c>
      <c r="F157" s="92" t="s">
        <v>52</v>
      </c>
      <c r="G157" s="93" t="s">
        <v>511</v>
      </c>
      <c r="H157" s="93" t="s">
        <v>512</v>
      </c>
    </row>
    <row r="158" spans="2:8" ht="47.25" x14ac:dyDescent="0.3">
      <c r="B158" s="91" t="s">
        <v>585</v>
      </c>
      <c r="C158" s="91" t="s">
        <v>225</v>
      </c>
      <c r="D158" s="91" t="s">
        <v>41</v>
      </c>
      <c r="E158" s="92" t="s">
        <v>27</v>
      </c>
      <c r="F158" s="92" t="s">
        <v>52</v>
      </c>
      <c r="G158" s="93" t="s">
        <v>513</v>
      </c>
      <c r="H158" s="93" t="s">
        <v>514</v>
      </c>
    </row>
    <row r="159" spans="2:8" ht="47.25" x14ac:dyDescent="0.3">
      <c r="B159" s="91" t="s">
        <v>586</v>
      </c>
      <c r="C159" s="94" t="s">
        <v>225</v>
      </c>
      <c r="D159" s="94" t="s">
        <v>41</v>
      </c>
      <c r="E159" s="95" t="s">
        <v>27</v>
      </c>
      <c r="F159" s="95" t="s">
        <v>52</v>
      </c>
      <c r="G159" s="96" t="s">
        <v>515</v>
      </c>
      <c r="H159" s="96" t="s">
        <v>516</v>
      </c>
    </row>
    <row r="160" spans="2:8" ht="47.25" x14ac:dyDescent="0.3">
      <c r="B160" s="97" t="s">
        <v>587</v>
      </c>
      <c r="C160" s="97" t="s">
        <v>225</v>
      </c>
      <c r="D160" s="97" t="s">
        <v>41</v>
      </c>
      <c r="E160" s="98" t="s">
        <v>27</v>
      </c>
      <c r="F160" s="98" t="s">
        <v>52</v>
      </c>
      <c r="G160" s="99" t="s">
        <v>517</v>
      </c>
      <c r="H160" s="99" t="s">
        <v>518</v>
      </c>
    </row>
    <row r="162" spans="2:8" ht="27.75" x14ac:dyDescent="0.3">
      <c r="B162" s="87" t="s">
        <v>554</v>
      </c>
      <c r="C162" s="87"/>
      <c r="D162" s="32"/>
      <c r="E162" s="3"/>
      <c r="F162" s="3"/>
      <c r="G162" s="3"/>
      <c r="H162" s="3"/>
    </row>
    <row r="163" spans="2:8" x14ac:dyDescent="0.3">
      <c r="B163" s="35" t="s">
        <v>9</v>
      </c>
      <c r="C163" s="35" t="s">
        <v>11</v>
      </c>
      <c r="D163" s="35" t="s">
        <v>10</v>
      </c>
      <c r="E163" s="35" t="s">
        <v>11</v>
      </c>
      <c r="F163" s="36" t="s">
        <v>12</v>
      </c>
      <c r="G163" s="36" t="s">
        <v>165</v>
      </c>
      <c r="H163" s="36" t="s">
        <v>169</v>
      </c>
    </row>
    <row r="164" spans="2:8" ht="47.25" x14ac:dyDescent="0.3">
      <c r="B164" s="91" t="s">
        <v>588</v>
      </c>
      <c r="C164" s="91" t="s">
        <v>225</v>
      </c>
      <c r="D164" s="91" t="s">
        <v>41</v>
      </c>
      <c r="E164" s="92" t="s">
        <v>27</v>
      </c>
      <c r="F164" s="92" t="s">
        <v>2</v>
      </c>
      <c r="G164" s="100" t="s">
        <v>530</v>
      </c>
      <c r="H164" s="100" t="s">
        <v>531</v>
      </c>
    </row>
    <row r="165" spans="2:8" ht="47.25" x14ac:dyDescent="0.3">
      <c r="B165" s="91" t="s">
        <v>556</v>
      </c>
      <c r="C165" s="91" t="s">
        <v>225</v>
      </c>
      <c r="D165" s="91" t="s">
        <v>41</v>
      </c>
      <c r="E165" s="92" t="s">
        <v>27</v>
      </c>
      <c r="F165" s="92" t="s">
        <v>2</v>
      </c>
      <c r="G165" s="100" t="s">
        <v>533</v>
      </c>
      <c r="H165" s="100" t="s">
        <v>534</v>
      </c>
    </row>
    <row r="166" spans="2:8" ht="31.5" x14ac:dyDescent="0.3">
      <c r="B166" s="91" t="s">
        <v>557</v>
      </c>
      <c r="C166" s="91" t="s">
        <v>225</v>
      </c>
      <c r="D166" s="91" t="s">
        <v>41</v>
      </c>
      <c r="E166" s="92" t="s">
        <v>27</v>
      </c>
      <c r="F166" s="92" t="s">
        <v>2</v>
      </c>
      <c r="G166" s="92" t="s">
        <v>527</v>
      </c>
      <c r="H166" s="92" t="s">
        <v>566</v>
      </c>
    </row>
    <row r="167" spans="2:8" ht="47.25" x14ac:dyDescent="0.3">
      <c r="B167" s="91" t="s">
        <v>558</v>
      </c>
      <c r="C167" s="91" t="s">
        <v>225</v>
      </c>
      <c r="D167" s="91" t="s">
        <v>41</v>
      </c>
      <c r="E167" s="92" t="s">
        <v>27</v>
      </c>
      <c r="F167" s="92" t="s">
        <v>2</v>
      </c>
      <c r="G167" s="92" t="s">
        <v>528</v>
      </c>
      <c r="H167" s="92" t="s">
        <v>536</v>
      </c>
    </row>
    <row r="168" spans="2:8" ht="31.5" x14ac:dyDescent="0.3">
      <c r="B168" s="91" t="s">
        <v>559</v>
      </c>
      <c r="C168" s="91" t="s">
        <v>225</v>
      </c>
      <c r="D168" s="91" t="s">
        <v>41</v>
      </c>
      <c r="E168" s="92" t="s">
        <v>27</v>
      </c>
      <c r="F168" s="92" t="s">
        <v>2</v>
      </c>
      <c r="G168" s="92" t="s">
        <v>538</v>
      </c>
      <c r="H168" s="92" t="s">
        <v>539</v>
      </c>
    </row>
    <row r="169" spans="2:8" ht="47.25" x14ac:dyDescent="0.3">
      <c r="B169" s="91" t="s">
        <v>560</v>
      </c>
      <c r="C169" s="91" t="s">
        <v>225</v>
      </c>
      <c r="D169" s="91" t="s">
        <v>41</v>
      </c>
      <c r="E169" s="92" t="s">
        <v>27</v>
      </c>
      <c r="F169" s="92" t="s">
        <v>2</v>
      </c>
      <c r="G169" s="92" t="s">
        <v>540</v>
      </c>
      <c r="H169" s="92" t="s">
        <v>541</v>
      </c>
    </row>
    <row r="170" spans="2:8" ht="31.5" x14ac:dyDescent="0.3">
      <c r="B170" s="91" t="s">
        <v>561</v>
      </c>
      <c r="C170" s="91" t="s">
        <v>225</v>
      </c>
      <c r="D170" s="91" t="s">
        <v>41</v>
      </c>
      <c r="E170" s="92" t="s">
        <v>27</v>
      </c>
      <c r="F170" s="92" t="s">
        <v>2</v>
      </c>
      <c r="G170" s="92" t="s">
        <v>530</v>
      </c>
      <c r="H170" s="92" t="s">
        <v>543</v>
      </c>
    </row>
    <row r="171" spans="2:8" ht="31.5" x14ac:dyDescent="0.3">
      <c r="B171" s="91" t="s">
        <v>562</v>
      </c>
      <c r="C171" s="91" t="s">
        <v>225</v>
      </c>
      <c r="D171" s="91" t="s">
        <v>41</v>
      </c>
      <c r="E171" s="92" t="s">
        <v>27</v>
      </c>
      <c r="F171" s="92" t="s">
        <v>2</v>
      </c>
      <c r="G171" s="92" t="s">
        <v>545</v>
      </c>
      <c r="H171" s="92" t="s">
        <v>546</v>
      </c>
    </row>
    <row r="172" spans="2:8" ht="31.5" x14ac:dyDescent="0.3">
      <c r="B172" s="91" t="s">
        <v>563</v>
      </c>
      <c r="C172" s="91" t="s">
        <v>225</v>
      </c>
      <c r="D172" s="91" t="s">
        <v>41</v>
      </c>
      <c r="E172" s="92" t="s">
        <v>27</v>
      </c>
      <c r="F172" s="92" t="s">
        <v>2</v>
      </c>
      <c r="G172" s="92" t="s">
        <v>547</v>
      </c>
      <c r="H172" s="92" t="s">
        <v>548</v>
      </c>
    </row>
    <row r="173" spans="2:8" ht="47.25" x14ac:dyDescent="0.3">
      <c r="B173" s="91" t="s">
        <v>564</v>
      </c>
      <c r="C173" s="91" t="s">
        <v>225</v>
      </c>
      <c r="D173" s="91" t="s">
        <v>41</v>
      </c>
      <c r="E173" s="92" t="s">
        <v>27</v>
      </c>
      <c r="F173" s="92" t="s">
        <v>2</v>
      </c>
      <c r="G173" s="92" t="s">
        <v>550</v>
      </c>
      <c r="H173" s="92" t="s">
        <v>551</v>
      </c>
    </row>
    <row r="174" spans="2:8" ht="47.25" x14ac:dyDescent="0.3">
      <c r="B174" s="97" t="s">
        <v>565</v>
      </c>
      <c r="C174" s="97" t="s">
        <v>225</v>
      </c>
      <c r="D174" s="97" t="s">
        <v>41</v>
      </c>
      <c r="E174" s="98" t="s">
        <v>27</v>
      </c>
      <c r="F174" s="98" t="s">
        <v>2</v>
      </c>
      <c r="G174" s="98" t="s">
        <v>552</v>
      </c>
      <c r="H174" s="98" t="s">
        <v>553</v>
      </c>
    </row>
    <row r="176" spans="2:8" ht="27.75" x14ac:dyDescent="0.3">
      <c r="B176" s="87" t="s">
        <v>627</v>
      </c>
      <c r="C176" s="87"/>
      <c r="D176" s="32"/>
      <c r="E176" s="3"/>
      <c r="F176" s="3"/>
      <c r="G176" s="3"/>
      <c r="H176" s="3"/>
    </row>
    <row r="177" spans="2:8" x14ac:dyDescent="0.3">
      <c r="B177" s="35" t="s">
        <v>9</v>
      </c>
      <c r="C177" s="35" t="s">
        <v>11</v>
      </c>
      <c r="D177" s="35" t="s">
        <v>10</v>
      </c>
      <c r="E177" s="35" t="s">
        <v>11</v>
      </c>
      <c r="F177" s="36" t="s">
        <v>12</v>
      </c>
      <c r="G177" s="36" t="s">
        <v>165</v>
      </c>
      <c r="H177" s="36" t="s">
        <v>169</v>
      </c>
    </row>
    <row r="178" spans="2:8" ht="47.25" x14ac:dyDescent="0.3">
      <c r="B178" s="88" t="s">
        <v>701</v>
      </c>
      <c r="C178" s="88" t="s">
        <v>225</v>
      </c>
      <c r="D178" s="88" t="s">
        <v>41</v>
      </c>
      <c r="E178" s="89" t="s">
        <v>27</v>
      </c>
      <c r="F178" s="89" t="s">
        <v>2</v>
      </c>
      <c r="G178" s="89" t="s">
        <v>599</v>
      </c>
      <c r="H178" s="89" t="s">
        <v>600</v>
      </c>
    </row>
    <row r="179" spans="2:8" ht="47.25" x14ac:dyDescent="0.3">
      <c r="B179" s="91" t="s">
        <v>589</v>
      </c>
      <c r="C179" s="91" t="s">
        <v>225</v>
      </c>
      <c r="D179" s="91" t="s">
        <v>41</v>
      </c>
      <c r="E179" s="92" t="s">
        <v>27</v>
      </c>
      <c r="F179" s="92" t="s">
        <v>2</v>
      </c>
      <c r="G179" s="92" t="s">
        <v>601</v>
      </c>
      <c r="H179" s="92" t="s">
        <v>602</v>
      </c>
    </row>
    <row r="180" spans="2:8" ht="47.25" x14ac:dyDescent="0.3">
      <c r="B180" s="91" t="s">
        <v>590</v>
      </c>
      <c r="C180" s="91" t="s">
        <v>225</v>
      </c>
      <c r="D180" s="91" t="s">
        <v>41</v>
      </c>
      <c r="E180" s="92" t="s">
        <v>27</v>
      </c>
      <c r="F180" s="92" t="s">
        <v>2</v>
      </c>
      <c r="G180" s="92" t="s">
        <v>603</v>
      </c>
      <c r="H180" s="92" t="s">
        <v>604</v>
      </c>
    </row>
    <row r="181" spans="2:8" ht="31.5" x14ac:dyDescent="0.3">
      <c r="B181" s="91" t="s">
        <v>591</v>
      </c>
      <c r="C181" s="91" t="s">
        <v>225</v>
      </c>
      <c r="D181" s="91" t="s">
        <v>41</v>
      </c>
      <c r="E181" s="92" t="s">
        <v>27</v>
      </c>
      <c r="F181" s="92" t="s">
        <v>2</v>
      </c>
      <c r="G181" s="92" t="s">
        <v>605</v>
      </c>
      <c r="H181" s="92" t="s">
        <v>606</v>
      </c>
    </row>
    <row r="182" spans="2:8" ht="31.5" x14ac:dyDescent="0.3">
      <c r="B182" s="91" t="s">
        <v>592</v>
      </c>
      <c r="C182" s="91" t="s">
        <v>225</v>
      </c>
      <c r="D182" s="91" t="s">
        <v>41</v>
      </c>
      <c r="E182" s="92" t="s">
        <v>27</v>
      </c>
      <c r="F182" s="92" t="s">
        <v>2</v>
      </c>
      <c r="G182" s="92" t="s">
        <v>607</v>
      </c>
      <c r="H182" s="92" t="s">
        <v>608</v>
      </c>
    </row>
    <row r="183" spans="2:8" ht="31.5" x14ac:dyDescent="0.3">
      <c r="B183" s="91" t="s">
        <v>593</v>
      </c>
      <c r="C183" s="91" t="s">
        <v>225</v>
      </c>
      <c r="D183" s="91" t="s">
        <v>41</v>
      </c>
      <c r="E183" s="92" t="s">
        <v>27</v>
      </c>
      <c r="F183" s="92" t="s">
        <v>2</v>
      </c>
      <c r="G183" s="92" t="s">
        <v>609</v>
      </c>
      <c r="H183" s="92" t="s">
        <v>610</v>
      </c>
    </row>
    <row r="184" spans="2:8" ht="47.25" x14ac:dyDescent="0.3">
      <c r="B184" s="91" t="s">
        <v>594</v>
      </c>
      <c r="C184" s="91" t="s">
        <v>225</v>
      </c>
      <c r="D184" s="91" t="s">
        <v>41</v>
      </c>
      <c r="E184" s="92" t="s">
        <v>27</v>
      </c>
      <c r="F184" s="92" t="s">
        <v>2</v>
      </c>
      <c r="G184" s="92" t="s">
        <v>611</v>
      </c>
      <c r="H184" s="92" t="s">
        <v>612</v>
      </c>
    </row>
    <row r="185" spans="2:8" ht="47.25" x14ac:dyDescent="0.3">
      <c r="B185" s="91" t="s">
        <v>595</v>
      </c>
      <c r="C185" s="91" t="s">
        <v>225</v>
      </c>
      <c r="D185" s="91" t="s">
        <v>41</v>
      </c>
      <c r="E185" s="92" t="s">
        <v>27</v>
      </c>
      <c r="F185" s="92" t="s">
        <v>2</v>
      </c>
      <c r="G185" s="92" t="s">
        <v>611</v>
      </c>
      <c r="H185" s="92" t="s">
        <v>613</v>
      </c>
    </row>
    <row r="186" spans="2:8" ht="47.25" x14ac:dyDescent="0.3">
      <c r="B186" s="91" t="s">
        <v>596</v>
      </c>
      <c r="C186" s="91" t="s">
        <v>225</v>
      </c>
      <c r="D186" s="91" t="s">
        <v>41</v>
      </c>
      <c r="E186" s="92" t="s">
        <v>27</v>
      </c>
      <c r="F186" s="92" t="s">
        <v>2</v>
      </c>
      <c r="G186" s="92" t="s">
        <v>614</v>
      </c>
      <c r="H186" s="92" t="s">
        <v>615</v>
      </c>
    </row>
    <row r="187" spans="2:8" ht="31.5" x14ac:dyDescent="0.3">
      <c r="B187" s="91" t="s">
        <v>597</v>
      </c>
      <c r="C187" s="91" t="s">
        <v>225</v>
      </c>
      <c r="D187" s="91" t="s">
        <v>41</v>
      </c>
      <c r="E187" s="92" t="s">
        <v>27</v>
      </c>
      <c r="F187" s="92" t="s">
        <v>2</v>
      </c>
      <c r="G187" s="92" t="s">
        <v>616</v>
      </c>
      <c r="H187" s="92" t="s">
        <v>617</v>
      </c>
    </row>
    <row r="188" spans="2:8" ht="47.25" x14ac:dyDescent="0.3">
      <c r="B188" s="97" t="s">
        <v>598</v>
      </c>
      <c r="C188" s="97" t="s">
        <v>225</v>
      </c>
      <c r="D188" s="97" t="s">
        <v>41</v>
      </c>
      <c r="E188" s="98" t="s">
        <v>27</v>
      </c>
      <c r="F188" s="98" t="s">
        <v>2</v>
      </c>
      <c r="G188" s="98" t="s">
        <v>618</v>
      </c>
      <c r="H188" s="98" t="s">
        <v>619</v>
      </c>
    </row>
    <row r="190" spans="2:8" ht="27.75" x14ac:dyDescent="0.3">
      <c r="B190" s="87" t="s">
        <v>628</v>
      </c>
      <c r="C190" s="87"/>
      <c r="D190" s="32"/>
      <c r="E190" s="3"/>
      <c r="F190" s="3"/>
      <c r="G190" s="3"/>
      <c r="H190" s="3"/>
    </row>
    <row r="191" spans="2:8" x14ac:dyDescent="0.3">
      <c r="B191" s="35" t="s">
        <v>9</v>
      </c>
      <c r="C191" s="35" t="s">
        <v>11</v>
      </c>
      <c r="D191" s="35" t="s">
        <v>10</v>
      </c>
      <c r="E191" s="35" t="s">
        <v>11</v>
      </c>
      <c r="F191" s="36" t="s">
        <v>12</v>
      </c>
      <c r="G191" s="36" t="s">
        <v>165</v>
      </c>
      <c r="H191" s="36" t="s">
        <v>169</v>
      </c>
    </row>
    <row r="192" spans="2:8" ht="47.25" x14ac:dyDescent="0.3">
      <c r="B192" s="90" t="s">
        <v>620</v>
      </c>
      <c r="C192" s="90" t="s">
        <v>225</v>
      </c>
      <c r="D192" s="90" t="s">
        <v>41</v>
      </c>
      <c r="E192" s="90" t="s">
        <v>27</v>
      </c>
      <c r="F192" s="90" t="s">
        <v>52</v>
      </c>
      <c r="G192" s="90" t="s">
        <v>629</v>
      </c>
      <c r="H192" s="90" t="s">
        <v>630</v>
      </c>
    </row>
    <row r="193" spans="2:8" ht="47.25" x14ac:dyDescent="0.3">
      <c r="B193" s="93" t="s">
        <v>621</v>
      </c>
      <c r="C193" s="93" t="s">
        <v>225</v>
      </c>
      <c r="D193" s="93" t="s">
        <v>41</v>
      </c>
      <c r="E193" s="93" t="s">
        <v>27</v>
      </c>
      <c r="F193" s="93" t="s">
        <v>52</v>
      </c>
      <c r="G193" s="93" t="s">
        <v>631</v>
      </c>
      <c r="H193" s="93" t="s">
        <v>632</v>
      </c>
    </row>
    <row r="194" spans="2:8" ht="47.25" x14ac:dyDescent="0.3">
      <c r="B194" s="93" t="s">
        <v>622</v>
      </c>
      <c r="C194" s="93" t="s">
        <v>225</v>
      </c>
      <c r="D194" s="93" t="s">
        <v>41</v>
      </c>
      <c r="E194" s="93" t="s">
        <v>27</v>
      </c>
      <c r="F194" s="93" t="s">
        <v>52</v>
      </c>
      <c r="G194" s="93" t="s">
        <v>633</v>
      </c>
      <c r="H194" s="93" t="s">
        <v>634</v>
      </c>
    </row>
    <row r="195" spans="2:8" ht="47.25" x14ac:dyDescent="0.3">
      <c r="B195" s="93" t="s">
        <v>623</v>
      </c>
      <c r="C195" s="93" t="s">
        <v>225</v>
      </c>
      <c r="D195" s="93" t="s">
        <v>41</v>
      </c>
      <c r="E195" s="93" t="s">
        <v>27</v>
      </c>
      <c r="F195" s="93" t="s">
        <v>52</v>
      </c>
      <c r="G195" s="93" t="s">
        <v>635</v>
      </c>
      <c r="H195" s="93" t="s">
        <v>636</v>
      </c>
    </row>
    <row r="196" spans="2:8" ht="47.25" x14ac:dyDescent="0.3">
      <c r="B196" s="93" t="s">
        <v>624</v>
      </c>
      <c r="C196" s="93" t="s">
        <v>225</v>
      </c>
      <c r="D196" s="93" t="s">
        <v>41</v>
      </c>
      <c r="E196" s="93" t="s">
        <v>27</v>
      </c>
      <c r="F196" s="93" t="s">
        <v>52</v>
      </c>
      <c r="G196" s="93" t="s">
        <v>637</v>
      </c>
      <c r="H196" s="93" t="s">
        <v>638</v>
      </c>
    </row>
    <row r="197" spans="2:8" ht="47.25" x14ac:dyDescent="0.3">
      <c r="B197" s="93" t="s">
        <v>625</v>
      </c>
      <c r="C197" s="93" t="s">
        <v>225</v>
      </c>
      <c r="D197" s="93" t="s">
        <v>41</v>
      </c>
      <c r="E197" s="93" t="s">
        <v>27</v>
      </c>
      <c r="F197" s="93" t="s">
        <v>52</v>
      </c>
      <c r="G197" s="93" t="s">
        <v>639</v>
      </c>
      <c r="H197" s="93" t="s">
        <v>640</v>
      </c>
    </row>
    <row r="198" spans="2:8" ht="47.25" x14ac:dyDescent="0.3">
      <c r="B198" s="99" t="s">
        <v>626</v>
      </c>
      <c r="C198" s="99" t="s">
        <v>225</v>
      </c>
      <c r="D198" s="99" t="s">
        <v>41</v>
      </c>
      <c r="E198" s="99" t="s">
        <v>27</v>
      </c>
      <c r="F198" s="99" t="s">
        <v>52</v>
      </c>
      <c r="G198" s="99" t="s">
        <v>226</v>
      </c>
      <c r="H198" s="99" t="s">
        <v>309</v>
      </c>
    </row>
    <row r="200" spans="2:8" ht="27.75" x14ac:dyDescent="0.3">
      <c r="B200" s="87" t="s">
        <v>646</v>
      </c>
      <c r="C200" s="87"/>
      <c r="D200" s="32"/>
      <c r="E200" s="3"/>
      <c r="F200" s="3"/>
      <c r="G200" s="3"/>
      <c r="H200" s="3"/>
    </row>
    <row r="201" spans="2:8" x14ac:dyDescent="0.3">
      <c r="B201" s="35" t="s">
        <v>224</v>
      </c>
      <c r="C201" s="35" t="s">
        <v>10</v>
      </c>
      <c r="D201" s="35" t="s">
        <v>11</v>
      </c>
      <c r="E201" s="36" t="s">
        <v>12</v>
      </c>
      <c r="F201" s="36"/>
      <c r="G201" s="36" t="s">
        <v>165</v>
      </c>
      <c r="H201" s="36" t="s">
        <v>169</v>
      </c>
    </row>
    <row r="202" spans="2:8" ht="94.5" x14ac:dyDescent="0.3">
      <c r="B202" s="93" t="s">
        <v>641</v>
      </c>
      <c r="C202" s="93" t="s">
        <v>225</v>
      </c>
      <c r="D202" s="93" t="s">
        <v>41</v>
      </c>
      <c r="E202" s="93" t="s">
        <v>27</v>
      </c>
      <c r="F202" s="93" t="s">
        <v>2</v>
      </c>
      <c r="G202" s="93" t="s">
        <v>647</v>
      </c>
      <c r="H202" s="93" t="s">
        <v>648</v>
      </c>
    </row>
    <row r="203" spans="2:8" ht="47.25" x14ac:dyDescent="0.3">
      <c r="B203" s="93" t="s">
        <v>642</v>
      </c>
      <c r="C203" s="93" t="s">
        <v>225</v>
      </c>
      <c r="D203" s="93" t="s">
        <v>41</v>
      </c>
      <c r="E203" s="93" t="s">
        <v>27</v>
      </c>
      <c r="F203" s="93" t="s">
        <v>2</v>
      </c>
      <c r="G203" s="93" t="s">
        <v>649</v>
      </c>
      <c r="H203" s="93" t="s">
        <v>650</v>
      </c>
    </row>
    <row r="204" spans="2:8" ht="38.25" customHeight="1" x14ac:dyDescent="0.3">
      <c r="B204" s="93" t="s">
        <v>643</v>
      </c>
      <c r="C204" s="93" t="s">
        <v>225</v>
      </c>
      <c r="D204" s="93" t="s">
        <v>41</v>
      </c>
      <c r="E204" s="93" t="s">
        <v>27</v>
      </c>
      <c r="F204" s="93" t="s">
        <v>2</v>
      </c>
      <c r="G204" s="93" t="s">
        <v>171</v>
      </c>
      <c r="H204" s="93" t="s">
        <v>661</v>
      </c>
    </row>
    <row r="205" spans="2:8" ht="47.25" x14ac:dyDescent="0.3">
      <c r="B205" s="93" t="s">
        <v>644</v>
      </c>
      <c r="C205" s="93" t="s">
        <v>225</v>
      </c>
      <c r="D205" s="93" t="s">
        <v>41</v>
      </c>
      <c r="E205" s="93" t="s">
        <v>27</v>
      </c>
      <c r="F205" s="93" t="s">
        <v>2</v>
      </c>
      <c r="G205" s="93" t="s">
        <v>651</v>
      </c>
      <c r="H205" s="93" t="s">
        <v>662</v>
      </c>
    </row>
    <row r="206" spans="2:8" ht="47.25" x14ac:dyDescent="0.3">
      <c r="B206" s="99" t="s">
        <v>645</v>
      </c>
      <c r="C206" s="99" t="s">
        <v>225</v>
      </c>
      <c r="D206" s="99" t="s">
        <v>41</v>
      </c>
      <c r="E206" s="99" t="s">
        <v>27</v>
      </c>
      <c r="F206" s="99" t="s">
        <v>2</v>
      </c>
      <c r="G206" s="99" t="s">
        <v>663</v>
      </c>
      <c r="H206" s="99" t="s">
        <v>652</v>
      </c>
    </row>
    <row r="208" spans="2:8" ht="27.75" x14ac:dyDescent="0.3">
      <c r="B208" s="87" t="s">
        <v>664</v>
      </c>
      <c r="C208" s="1"/>
      <c r="D208" s="1"/>
      <c r="E208" s="33"/>
      <c r="F208" s="33"/>
      <c r="G208" s="33"/>
    </row>
    <row r="209" spans="2:8" x14ac:dyDescent="0.3">
      <c r="B209" s="35" t="s">
        <v>224</v>
      </c>
      <c r="C209" s="35" t="s">
        <v>10</v>
      </c>
      <c r="D209" s="35" t="s">
        <v>11</v>
      </c>
      <c r="E209" s="36" t="s">
        <v>12</v>
      </c>
      <c r="F209" s="36"/>
      <c r="G209" s="36" t="s">
        <v>165</v>
      </c>
      <c r="H209" s="36" t="s">
        <v>169</v>
      </c>
    </row>
    <row r="210" spans="2:8" ht="47.25" x14ac:dyDescent="0.3">
      <c r="B210" s="90" t="s">
        <v>653</v>
      </c>
      <c r="C210" s="90" t="s">
        <v>225</v>
      </c>
      <c r="D210" s="90" t="s">
        <v>41</v>
      </c>
      <c r="E210" s="90" t="s">
        <v>27</v>
      </c>
      <c r="F210" s="90" t="s">
        <v>52</v>
      </c>
      <c r="G210" s="90" t="s">
        <v>499</v>
      </c>
      <c r="H210" s="90" t="s">
        <v>665</v>
      </c>
    </row>
    <row r="211" spans="2:8" ht="47.25" x14ac:dyDescent="0.3">
      <c r="B211" s="93" t="s">
        <v>654</v>
      </c>
      <c r="C211" s="93" t="s">
        <v>225</v>
      </c>
      <c r="D211" s="93" t="s">
        <v>41</v>
      </c>
      <c r="E211" s="93" t="s">
        <v>27</v>
      </c>
      <c r="F211" s="93" t="s">
        <v>52</v>
      </c>
      <c r="G211" s="93" t="s">
        <v>666</v>
      </c>
      <c r="H211" s="93" t="s">
        <v>667</v>
      </c>
    </row>
    <row r="212" spans="2:8" ht="47.25" x14ac:dyDescent="0.3">
      <c r="B212" s="93" t="s">
        <v>655</v>
      </c>
      <c r="C212" s="93" t="s">
        <v>225</v>
      </c>
      <c r="D212" s="93" t="s">
        <v>41</v>
      </c>
      <c r="E212" s="93" t="s">
        <v>27</v>
      </c>
      <c r="F212" s="93" t="s">
        <v>52</v>
      </c>
      <c r="G212" s="93" t="s">
        <v>668</v>
      </c>
      <c r="H212" s="93" t="s">
        <v>669</v>
      </c>
    </row>
    <row r="213" spans="2:8" ht="47.25" x14ac:dyDescent="0.3">
      <c r="B213" s="93" t="s">
        <v>656</v>
      </c>
      <c r="C213" s="93" t="s">
        <v>225</v>
      </c>
      <c r="D213" s="93" t="s">
        <v>41</v>
      </c>
      <c r="E213" s="93" t="s">
        <v>27</v>
      </c>
      <c r="F213" s="93" t="s">
        <v>52</v>
      </c>
      <c r="G213" s="93" t="s">
        <v>670</v>
      </c>
      <c r="H213" s="93" t="s">
        <v>671</v>
      </c>
    </row>
    <row r="214" spans="2:8" ht="47.25" x14ac:dyDescent="0.3">
      <c r="B214" s="93" t="s">
        <v>657</v>
      </c>
      <c r="C214" s="93" t="s">
        <v>225</v>
      </c>
      <c r="D214" s="93" t="s">
        <v>41</v>
      </c>
      <c r="E214" s="93" t="s">
        <v>27</v>
      </c>
      <c r="F214" s="93" t="s">
        <v>52</v>
      </c>
      <c r="G214" s="93" t="s">
        <v>672</v>
      </c>
      <c r="H214" s="93" t="s">
        <v>673</v>
      </c>
    </row>
    <row r="215" spans="2:8" ht="47.25" x14ac:dyDescent="0.3">
      <c r="B215" s="93" t="s">
        <v>658</v>
      </c>
      <c r="C215" s="93" t="s">
        <v>225</v>
      </c>
      <c r="D215" s="93" t="s">
        <v>41</v>
      </c>
      <c r="E215" s="93" t="s">
        <v>27</v>
      </c>
      <c r="F215" s="93" t="s">
        <v>52</v>
      </c>
      <c r="G215" s="93" t="s">
        <v>674</v>
      </c>
      <c r="H215" s="93" t="s">
        <v>675</v>
      </c>
    </row>
    <row r="216" spans="2:8" ht="47.25" x14ac:dyDescent="0.3">
      <c r="B216" s="93" t="s">
        <v>659</v>
      </c>
      <c r="C216" s="93" t="s">
        <v>225</v>
      </c>
      <c r="D216" s="93" t="s">
        <v>41</v>
      </c>
      <c r="E216" s="93" t="s">
        <v>27</v>
      </c>
      <c r="F216" s="93" t="s">
        <v>52</v>
      </c>
      <c r="G216" s="93" t="s">
        <v>676</v>
      </c>
      <c r="H216" s="93" t="s">
        <v>677</v>
      </c>
    </row>
    <row r="217" spans="2:8" ht="47.25" x14ac:dyDescent="0.3">
      <c r="B217" s="99" t="s">
        <v>660</v>
      </c>
      <c r="C217" s="99" t="s">
        <v>225</v>
      </c>
      <c r="D217" s="99" t="s">
        <v>41</v>
      </c>
      <c r="E217" s="99" t="s">
        <v>27</v>
      </c>
      <c r="F217" s="99" t="s">
        <v>52</v>
      </c>
      <c r="G217" s="99" t="s">
        <v>517</v>
      </c>
      <c r="H217" s="99" t="s">
        <v>518</v>
      </c>
    </row>
    <row r="219" spans="2:8" ht="27.75" x14ac:dyDescent="0.3">
      <c r="B219" s="87" t="s">
        <v>684</v>
      </c>
      <c r="C219" s="1"/>
      <c r="D219" s="1"/>
      <c r="E219" s="33"/>
      <c r="F219" s="33"/>
      <c r="G219" s="33"/>
    </row>
    <row r="220" spans="2:8" x14ac:dyDescent="0.3">
      <c r="B220" s="35" t="s">
        <v>224</v>
      </c>
      <c r="C220" s="35" t="s">
        <v>10</v>
      </c>
      <c r="D220" s="35" t="s">
        <v>11</v>
      </c>
      <c r="E220" s="36" t="s">
        <v>12</v>
      </c>
      <c r="F220" s="36"/>
      <c r="G220" s="36" t="s">
        <v>165</v>
      </c>
      <c r="H220" s="36" t="s">
        <v>169</v>
      </c>
    </row>
    <row r="221" spans="2:8" ht="31.5" x14ac:dyDescent="0.3">
      <c r="B221" s="93" t="s">
        <v>678</v>
      </c>
      <c r="C221" s="93" t="s">
        <v>225</v>
      </c>
      <c r="D221" s="93" t="s">
        <v>41</v>
      </c>
      <c r="E221" s="93" t="s">
        <v>27</v>
      </c>
      <c r="F221" s="93" t="s">
        <v>2</v>
      </c>
      <c r="G221" s="90" t="s">
        <v>685</v>
      </c>
      <c r="H221" s="90" t="s">
        <v>691</v>
      </c>
    </row>
    <row r="222" spans="2:8" ht="47.25" x14ac:dyDescent="0.3">
      <c r="B222" s="93" t="s">
        <v>679</v>
      </c>
      <c r="C222" s="93" t="s">
        <v>225</v>
      </c>
      <c r="D222" s="93" t="s">
        <v>41</v>
      </c>
      <c r="E222" s="93" t="s">
        <v>27</v>
      </c>
      <c r="F222" s="93" t="s">
        <v>2</v>
      </c>
      <c r="G222" s="93" t="s">
        <v>686</v>
      </c>
      <c r="H222" s="93" t="s">
        <v>696</v>
      </c>
    </row>
    <row r="223" spans="2:8" ht="31.5" x14ac:dyDescent="0.3">
      <c r="B223" s="93" t="s">
        <v>680</v>
      </c>
      <c r="C223" s="93" t="s">
        <v>225</v>
      </c>
      <c r="D223" s="93" t="s">
        <v>41</v>
      </c>
      <c r="E223" s="93" t="s">
        <v>27</v>
      </c>
      <c r="F223" s="93" t="s">
        <v>2</v>
      </c>
      <c r="G223" s="93" t="s">
        <v>687</v>
      </c>
      <c r="H223" s="93" t="s">
        <v>692</v>
      </c>
    </row>
    <row r="224" spans="2:8" ht="47.25" x14ac:dyDescent="0.3">
      <c r="B224" s="93" t="s">
        <v>681</v>
      </c>
      <c r="C224" s="93" t="s">
        <v>225</v>
      </c>
      <c r="D224" s="93" t="s">
        <v>41</v>
      </c>
      <c r="E224" s="93" t="s">
        <v>27</v>
      </c>
      <c r="F224" s="93" t="s">
        <v>2</v>
      </c>
      <c r="G224" s="93" t="s">
        <v>688</v>
      </c>
      <c r="H224" s="93" t="s">
        <v>693</v>
      </c>
    </row>
    <row r="225" spans="2:8" ht="63" x14ac:dyDescent="0.3">
      <c r="B225" s="93" t="s">
        <v>682</v>
      </c>
      <c r="C225" s="93" t="s">
        <v>225</v>
      </c>
      <c r="D225" s="93" t="s">
        <v>41</v>
      </c>
      <c r="E225" s="93" t="s">
        <v>27</v>
      </c>
      <c r="F225" s="93" t="s">
        <v>2</v>
      </c>
      <c r="G225" s="93" t="s">
        <v>689</v>
      </c>
      <c r="H225" s="93" t="s">
        <v>694</v>
      </c>
    </row>
    <row r="226" spans="2:8" ht="47.25" x14ac:dyDescent="0.3">
      <c r="B226" s="99" t="s">
        <v>683</v>
      </c>
      <c r="C226" s="99" t="s">
        <v>225</v>
      </c>
      <c r="D226" s="99" t="s">
        <v>41</v>
      </c>
      <c r="E226" s="99" t="s">
        <v>27</v>
      </c>
      <c r="F226" s="99" t="s">
        <v>2</v>
      </c>
      <c r="G226" s="99" t="s">
        <v>690</v>
      </c>
      <c r="H226" s="99" t="s">
        <v>695</v>
      </c>
    </row>
  </sheetData>
  <autoFilter ref="C3:J3" xr:uid="{326F9C08-DC08-4C93-8620-4D5EC3498141}"/>
  <phoneticPr fontId="2"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FDBB7-7CE9-4030-BDEE-BB5D297750E9}">
  <dimension ref="A1:U8"/>
  <sheetViews>
    <sheetView zoomScale="55" zoomScaleNormal="55" workbookViewId="0">
      <selection activeCell="H17" sqref="H17"/>
    </sheetView>
  </sheetViews>
  <sheetFormatPr defaultRowHeight="15" x14ac:dyDescent="0.25"/>
  <cols>
    <col min="3" max="3" width="10.28515625" style="21" customWidth="1"/>
    <col min="4" max="4" width="18.28515625" bestFit="1" customWidth="1"/>
    <col min="5" max="5" width="17.7109375" style="62" bestFit="1" customWidth="1"/>
    <col min="9" max="9" width="10.7109375" bestFit="1" customWidth="1"/>
    <col min="10" max="10" width="9.140625" style="50"/>
    <col min="11" max="11" width="10.140625" style="50" bestFit="1" customWidth="1"/>
    <col min="13" max="13" width="12" bestFit="1" customWidth="1"/>
    <col min="14" max="14" width="10" bestFit="1" customWidth="1"/>
    <col min="15" max="15" width="10.7109375" bestFit="1" customWidth="1"/>
    <col min="16" max="16" width="11.140625" bestFit="1" customWidth="1"/>
    <col min="17" max="17" width="16.140625" bestFit="1" customWidth="1"/>
    <col min="18" max="18" width="33.85546875" bestFit="1" customWidth="1"/>
    <col min="19" max="19" width="24.5703125" bestFit="1" customWidth="1"/>
    <col min="20" max="21" width="23.85546875" bestFit="1" customWidth="1"/>
  </cols>
  <sheetData>
    <row r="1" spans="1:21" s="34" customFormat="1" ht="30" x14ac:dyDescent="0.25">
      <c r="A1" s="53" t="s">
        <v>363</v>
      </c>
      <c r="B1" s="53" t="s">
        <v>364</v>
      </c>
      <c r="C1" s="54" t="s">
        <v>386</v>
      </c>
      <c r="D1" s="53" t="s">
        <v>389</v>
      </c>
      <c r="E1" s="60" t="s">
        <v>388</v>
      </c>
      <c r="F1" s="55" t="s">
        <v>365</v>
      </c>
      <c r="G1" s="55" t="s">
        <v>367</v>
      </c>
      <c r="H1" s="55" t="s">
        <v>366</v>
      </c>
      <c r="I1" s="55" t="s">
        <v>379</v>
      </c>
      <c r="J1" s="56" t="s">
        <v>381</v>
      </c>
      <c r="K1" s="56" t="s">
        <v>382</v>
      </c>
      <c r="L1" s="53" t="s">
        <v>368</v>
      </c>
      <c r="M1" s="53" t="s">
        <v>389</v>
      </c>
      <c r="N1" s="57" t="s">
        <v>369</v>
      </c>
      <c r="O1" s="57" t="s">
        <v>370</v>
      </c>
      <c r="P1" s="58" t="s">
        <v>371</v>
      </c>
      <c r="Q1" s="57" t="s">
        <v>13</v>
      </c>
      <c r="R1" s="57" t="s">
        <v>10</v>
      </c>
      <c r="S1" s="57" t="s">
        <v>11</v>
      </c>
      <c r="T1" s="57" t="s">
        <v>12</v>
      </c>
      <c r="U1" s="57" t="s">
        <v>165</v>
      </c>
    </row>
    <row r="2" spans="1:21" ht="16.5" x14ac:dyDescent="0.3">
      <c r="A2" s="40" t="s">
        <v>372</v>
      </c>
      <c r="B2" s="40" t="s">
        <v>192</v>
      </c>
      <c r="C2" s="51" t="s">
        <v>387</v>
      </c>
      <c r="D2" s="40" t="s">
        <v>390</v>
      </c>
      <c r="E2" s="59">
        <v>4000</v>
      </c>
      <c r="F2" s="41">
        <v>45579</v>
      </c>
      <c r="G2" s="41" t="str">
        <f>"Sem "&amp;WEEKNUM(F2,2)</f>
        <v>Sem 42</v>
      </c>
      <c r="H2" s="41" t="str">
        <f>PROPER(TEXT(F2,"mmm"))</f>
        <v>Out</v>
      </c>
      <c r="I2" s="41" t="s">
        <v>380</v>
      </c>
      <c r="J2" s="48">
        <v>2025</v>
      </c>
      <c r="K2" s="48" t="s">
        <v>383</v>
      </c>
      <c r="L2" s="40" t="s">
        <v>373</v>
      </c>
      <c r="M2" s="40" t="s">
        <v>385</v>
      </c>
      <c r="N2" s="42">
        <v>0.32222222222222224</v>
      </c>
      <c r="O2" s="42">
        <v>0.73124999999999996</v>
      </c>
      <c r="P2" s="42">
        <f>O2-N2</f>
        <v>0.40902777777777771</v>
      </c>
      <c r="Q2" s="43" t="s">
        <v>225</v>
      </c>
      <c r="R2" s="43" t="s">
        <v>24</v>
      </c>
      <c r="S2" s="43" t="s">
        <v>16</v>
      </c>
      <c r="T2" s="43" t="s">
        <v>223</v>
      </c>
      <c r="U2" s="43" t="s">
        <v>223</v>
      </c>
    </row>
    <row r="3" spans="1:21" ht="16.5" x14ac:dyDescent="0.3">
      <c r="A3" s="44" t="s">
        <v>372</v>
      </c>
      <c r="B3" s="44" t="s">
        <v>192</v>
      </c>
      <c r="C3" s="52" t="s">
        <v>387</v>
      </c>
      <c r="D3" s="44" t="s">
        <v>390</v>
      </c>
      <c r="E3" s="61">
        <v>4000</v>
      </c>
      <c r="F3" s="45">
        <v>45579</v>
      </c>
      <c r="G3" s="45" t="str">
        <f t="shared" ref="G3:G8" si="0">"Sem "&amp;WEEKNUM(F3,2)</f>
        <v>Sem 42</v>
      </c>
      <c r="H3" s="45" t="str">
        <f t="shared" ref="H3:H8" si="1">PROPER(TEXT(F3,"mmm"))</f>
        <v>Out</v>
      </c>
      <c r="I3" s="45" t="s">
        <v>380</v>
      </c>
      <c r="J3" s="49">
        <v>2025</v>
      </c>
      <c r="K3" s="49" t="s">
        <v>383</v>
      </c>
      <c r="L3" s="44" t="s">
        <v>374</v>
      </c>
      <c r="M3" s="44" t="s">
        <v>385</v>
      </c>
      <c r="N3" s="46">
        <v>0.73958333333333337</v>
      </c>
      <c r="O3" s="46">
        <v>0.74930555555555556</v>
      </c>
      <c r="P3" s="46">
        <f t="shared" ref="P3:P8" si="2">O3-N3</f>
        <v>9.7222222222221877E-3</v>
      </c>
      <c r="Q3" s="47" t="s">
        <v>225</v>
      </c>
      <c r="R3" s="47" t="s">
        <v>41</v>
      </c>
      <c r="S3" s="47" t="s">
        <v>27</v>
      </c>
      <c r="T3" s="47" t="s">
        <v>2</v>
      </c>
      <c r="U3" s="47" t="s">
        <v>185</v>
      </c>
    </row>
    <row r="4" spans="1:21" ht="16.5" x14ac:dyDescent="0.3">
      <c r="A4" s="40" t="s">
        <v>372</v>
      </c>
      <c r="B4" s="40" t="s">
        <v>192</v>
      </c>
      <c r="C4" s="51" t="s">
        <v>387</v>
      </c>
      <c r="D4" s="40" t="s">
        <v>390</v>
      </c>
      <c r="E4" s="59">
        <v>4000</v>
      </c>
      <c r="F4" s="41">
        <v>45579</v>
      </c>
      <c r="G4" s="41" t="str">
        <f t="shared" si="0"/>
        <v>Sem 42</v>
      </c>
      <c r="H4" s="41" t="str">
        <f t="shared" si="1"/>
        <v>Out</v>
      </c>
      <c r="I4" s="41" t="s">
        <v>380</v>
      </c>
      <c r="J4" s="48">
        <v>2025</v>
      </c>
      <c r="K4" s="48" t="s">
        <v>384</v>
      </c>
      <c r="L4" s="40" t="s">
        <v>375</v>
      </c>
      <c r="M4" s="40" t="s">
        <v>385</v>
      </c>
      <c r="N4" s="42">
        <v>0.75624999999999998</v>
      </c>
      <c r="O4" s="42">
        <v>0.79027777777777775</v>
      </c>
      <c r="P4" s="42">
        <f t="shared" si="2"/>
        <v>3.4027777777777768E-2</v>
      </c>
      <c r="Q4" s="43" t="s">
        <v>225</v>
      </c>
      <c r="R4" s="43" t="s">
        <v>41</v>
      </c>
      <c r="S4" s="43" t="s">
        <v>27</v>
      </c>
      <c r="T4" s="43" t="s">
        <v>52</v>
      </c>
      <c r="U4" s="43" t="s">
        <v>227</v>
      </c>
    </row>
    <row r="5" spans="1:21" s="70" customFormat="1" ht="16.5" x14ac:dyDescent="0.3">
      <c r="A5" s="63" t="s">
        <v>372</v>
      </c>
      <c r="B5" s="63" t="s">
        <v>192</v>
      </c>
      <c r="C5" s="64" t="s">
        <v>387</v>
      </c>
      <c r="D5" s="63" t="s">
        <v>390</v>
      </c>
      <c r="E5" s="65">
        <v>4000</v>
      </c>
      <c r="F5" s="66">
        <v>45579</v>
      </c>
      <c r="G5" s="66" t="str">
        <f t="shared" si="0"/>
        <v>Sem 42</v>
      </c>
      <c r="H5" s="66" t="str">
        <f t="shared" si="1"/>
        <v>Out</v>
      </c>
      <c r="I5" s="66" t="s">
        <v>380</v>
      </c>
      <c r="J5" s="67">
        <v>2025</v>
      </c>
      <c r="K5" s="67" t="s">
        <v>384</v>
      </c>
      <c r="L5" s="63" t="s">
        <v>376</v>
      </c>
      <c r="M5" s="63" t="s">
        <v>385</v>
      </c>
      <c r="N5" s="68">
        <v>0.79722222222222228</v>
      </c>
      <c r="O5" s="68">
        <v>0.79861111111111116</v>
      </c>
      <c r="P5" s="68">
        <f t="shared" si="2"/>
        <v>1.388888888888884E-3</v>
      </c>
      <c r="Q5" s="69" t="s">
        <v>225</v>
      </c>
      <c r="R5" s="69" t="s">
        <v>41</v>
      </c>
      <c r="S5" s="69" t="s">
        <v>27</v>
      </c>
      <c r="T5" s="69" t="s">
        <v>52</v>
      </c>
      <c r="U5" s="69" t="s">
        <v>229</v>
      </c>
    </row>
    <row r="6" spans="1:21" ht="16.5" x14ac:dyDescent="0.3">
      <c r="A6" s="40" t="s">
        <v>372</v>
      </c>
      <c r="B6" s="40" t="s">
        <v>192</v>
      </c>
      <c r="C6" s="51" t="s">
        <v>387</v>
      </c>
      <c r="D6" s="40" t="s">
        <v>390</v>
      </c>
      <c r="E6" s="59">
        <v>4000</v>
      </c>
      <c r="F6" s="41">
        <v>45579</v>
      </c>
      <c r="G6" s="41" t="str">
        <f t="shared" si="0"/>
        <v>Sem 42</v>
      </c>
      <c r="H6" s="41" t="str">
        <f t="shared" si="1"/>
        <v>Out</v>
      </c>
      <c r="I6" s="41" t="s">
        <v>380</v>
      </c>
      <c r="J6" s="48">
        <v>2025</v>
      </c>
      <c r="K6" s="48" t="s">
        <v>384</v>
      </c>
      <c r="L6" s="40" t="s">
        <v>377</v>
      </c>
      <c r="M6" s="40" t="s">
        <v>385</v>
      </c>
      <c r="N6" s="42">
        <v>0.87430555555555556</v>
      </c>
      <c r="O6" s="42">
        <v>0.91249999999999998</v>
      </c>
      <c r="P6" s="42">
        <f t="shared" si="2"/>
        <v>3.819444444444442E-2</v>
      </c>
      <c r="Q6" s="43" t="s">
        <v>225</v>
      </c>
      <c r="R6" s="43" t="s">
        <v>359</v>
      </c>
      <c r="S6" s="43" t="s">
        <v>16</v>
      </c>
      <c r="T6" s="43" t="s">
        <v>248</v>
      </c>
      <c r="U6" s="43" t="s">
        <v>248</v>
      </c>
    </row>
    <row r="7" spans="1:21" ht="16.5" x14ac:dyDescent="0.3">
      <c r="A7" s="44" t="s">
        <v>372</v>
      </c>
      <c r="B7" s="44" t="s">
        <v>192</v>
      </c>
      <c r="C7" s="52" t="s">
        <v>387</v>
      </c>
      <c r="D7" s="44" t="s">
        <v>390</v>
      </c>
      <c r="E7" s="61">
        <v>4000</v>
      </c>
      <c r="F7" s="45">
        <v>45579</v>
      </c>
      <c r="G7" s="45" t="str">
        <f t="shared" si="0"/>
        <v>Sem 42</v>
      </c>
      <c r="H7" s="45" t="str">
        <f t="shared" si="1"/>
        <v>Out</v>
      </c>
      <c r="I7" s="45" t="s">
        <v>380</v>
      </c>
      <c r="J7" s="49">
        <v>2025</v>
      </c>
      <c r="K7" s="49" t="s">
        <v>384</v>
      </c>
      <c r="L7" s="44" t="s">
        <v>377</v>
      </c>
      <c r="M7" s="44" t="s">
        <v>385</v>
      </c>
      <c r="N7" s="46">
        <v>0.91249999999999998</v>
      </c>
      <c r="O7" s="46">
        <v>0.9291666666666667</v>
      </c>
      <c r="P7" s="46">
        <f t="shared" si="2"/>
        <v>1.6666666666666718E-2</v>
      </c>
      <c r="Q7" s="47" t="s">
        <v>225</v>
      </c>
      <c r="R7" s="47" t="s">
        <v>359</v>
      </c>
      <c r="S7" s="47" t="s">
        <v>16</v>
      </c>
      <c r="T7" s="47" t="s">
        <v>248</v>
      </c>
      <c r="U7" s="47" t="s">
        <v>248</v>
      </c>
    </row>
    <row r="8" spans="1:21" ht="16.5" x14ac:dyDescent="0.3">
      <c r="A8" s="40" t="s">
        <v>372</v>
      </c>
      <c r="B8" s="40" t="s">
        <v>192</v>
      </c>
      <c r="C8" s="51" t="s">
        <v>387</v>
      </c>
      <c r="D8" s="40" t="s">
        <v>390</v>
      </c>
      <c r="E8" s="59">
        <v>4000</v>
      </c>
      <c r="F8" s="41">
        <v>45579</v>
      </c>
      <c r="G8" s="41" t="str">
        <f t="shared" si="0"/>
        <v>Sem 42</v>
      </c>
      <c r="H8" s="41" t="str">
        <f t="shared" si="1"/>
        <v>Out</v>
      </c>
      <c r="I8" s="41" t="s">
        <v>380</v>
      </c>
      <c r="J8" s="48">
        <v>2025</v>
      </c>
      <c r="K8" s="48" t="s">
        <v>384</v>
      </c>
      <c r="L8" s="40" t="s">
        <v>378</v>
      </c>
      <c r="M8" s="40" t="s">
        <v>385</v>
      </c>
      <c r="N8" s="42">
        <v>0.9291666666666667</v>
      </c>
      <c r="O8" s="42">
        <v>0.9604166666666667</v>
      </c>
      <c r="P8" s="42">
        <f t="shared" si="2"/>
        <v>3.125E-2</v>
      </c>
      <c r="Q8" s="43" t="s">
        <v>225</v>
      </c>
      <c r="R8" s="43" t="s">
        <v>359</v>
      </c>
      <c r="S8" s="43" t="s">
        <v>16</v>
      </c>
      <c r="T8" s="43" t="s">
        <v>26</v>
      </c>
      <c r="U8" s="43" t="s">
        <v>21</v>
      </c>
    </row>
  </sheetData>
  <pageMargins left="0.511811024" right="0.511811024" top="0.78740157499999996" bottom="0.78740157499999996" header="0.31496062000000002" footer="0.31496062000000002"/>
  <pageSetup paperSize="9" orientation="portrait" horizontalDpi="0" verticalDpi="0" r:id="rId1"/>
  <ignoredErrors>
    <ignoredError sqref="C2:C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C66E-3BDF-4A7C-A6A4-B30DD9E38926}">
  <dimension ref="B3:J33"/>
  <sheetViews>
    <sheetView zoomScale="85" zoomScaleNormal="85" workbookViewId="0">
      <selection activeCell="E13" sqref="E13"/>
    </sheetView>
  </sheetViews>
  <sheetFormatPr defaultRowHeight="15" x14ac:dyDescent="0.25"/>
  <cols>
    <col min="3" max="3" width="33.42578125" bestFit="1" customWidth="1"/>
    <col min="4" max="4" width="24.5703125" bestFit="1" customWidth="1"/>
    <col min="5" max="5" width="31.5703125" bestFit="1" customWidth="1"/>
    <col min="6" max="6" width="53.28515625" customWidth="1"/>
    <col min="10" max="10" width="26.140625" bestFit="1" customWidth="1"/>
  </cols>
  <sheetData>
    <row r="3" spans="2:10" ht="16.5" x14ac:dyDescent="0.3">
      <c r="B3" s="4" t="s">
        <v>36</v>
      </c>
      <c r="C3" s="5"/>
      <c r="D3" s="5"/>
      <c r="E3" s="5"/>
      <c r="F3" s="5"/>
    </row>
    <row r="4" spans="2:10" ht="7.5" customHeight="1" x14ac:dyDescent="0.3">
      <c r="B4" s="2"/>
      <c r="C4" s="2"/>
      <c r="D4" s="2"/>
      <c r="E4" s="2"/>
      <c r="F4" s="2"/>
    </row>
    <row r="5" spans="2:10" ht="16.5" x14ac:dyDescent="0.3">
      <c r="B5" s="6" t="s">
        <v>9</v>
      </c>
      <c r="C5" s="6" t="s">
        <v>10</v>
      </c>
      <c r="D5" s="6" t="s">
        <v>11</v>
      </c>
      <c r="E5" s="6" t="s">
        <v>12</v>
      </c>
      <c r="F5" s="6" t="s">
        <v>13</v>
      </c>
    </row>
    <row r="6" spans="2:10" ht="16.5" x14ac:dyDescent="0.3">
      <c r="B6" s="7"/>
      <c r="C6" s="7" t="s">
        <v>41</v>
      </c>
      <c r="D6" s="7" t="s">
        <v>27</v>
      </c>
      <c r="E6" s="7" t="s">
        <v>52</v>
      </c>
      <c r="F6" s="9" t="s">
        <v>83</v>
      </c>
      <c r="G6" s="14"/>
      <c r="H6" s="26"/>
      <c r="I6" s="17" t="s">
        <v>112</v>
      </c>
      <c r="J6" s="17" t="s">
        <v>134</v>
      </c>
    </row>
    <row r="7" spans="2:10" ht="16.5" x14ac:dyDescent="0.3">
      <c r="B7" s="7"/>
      <c r="C7" s="7" t="s">
        <v>41</v>
      </c>
      <c r="D7" s="7" t="s">
        <v>27</v>
      </c>
      <c r="E7" s="7" t="s">
        <v>52</v>
      </c>
      <c r="F7" s="9" t="s">
        <v>160</v>
      </c>
      <c r="G7" s="14"/>
      <c r="H7" s="26"/>
      <c r="I7" s="19" t="s">
        <v>135</v>
      </c>
      <c r="J7" s="19" t="s">
        <v>33</v>
      </c>
    </row>
    <row r="8" spans="2:10" ht="16.5" x14ac:dyDescent="0.3">
      <c r="B8" s="7"/>
      <c r="C8" s="7" t="s">
        <v>41</v>
      </c>
      <c r="D8" s="7" t="s">
        <v>27</v>
      </c>
      <c r="E8" s="7" t="s">
        <v>52</v>
      </c>
      <c r="F8" s="9" t="s">
        <v>99</v>
      </c>
      <c r="G8" s="14"/>
      <c r="H8" s="26"/>
      <c r="I8" s="19" t="s">
        <v>123</v>
      </c>
      <c r="J8" s="19" t="s">
        <v>14</v>
      </c>
    </row>
    <row r="9" spans="2:10" ht="16.5" x14ac:dyDescent="0.3">
      <c r="B9" s="7"/>
      <c r="C9" s="7" t="s">
        <v>41</v>
      </c>
      <c r="D9" s="7" t="s">
        <v>27</v>
      </c>
      <c r="E9" s="7" t="s">
        <v>52</v>
      </c>
      <c r="F9" s="9" t="s">
        <v>90</v>
      </c>
      <c r="G9" s="14"/>
      <c r="H9" s="26"/>
      <c r="I9" s="20" t="s">
        <v>136</v>
      </c>
      <c r="J9" s="20" t="s">
        <v>154</v>
      </c>
    </row>
    <row r="10" spans="2:10" ht="16.5" x14ac:dyDescent="0.3">
      <c r="B10" s="7"/>
      <c r="C10" s="7" t="s">
        <v>41</v>
      </c>
      <c r="D10" s="7" t="s">
        <v>27</v>
      </c>
      <c r="E10" s="7" t="s">
        <v>52</v>
      </c>
      <c r="F10" s="9" t="s">
        <v>156</v>
      </c>
      <c r="G10" s="14"/>
      <c r="H10" s="26"/>
    </row>
    <row r="11" spans="2:10" ht="16.5" x14ac:dyDescent="0.3">
      <c r="B11" s="7"/>
      <c r="C11" s="7" t="s">
        <v>41</v>
      </c>
      <c r="D11" s="7" t="s">
        <v>27</v>
      </c>
      <c r="E11" s="7" t="s">
        <v>52</v>
      </c>
      <c r="F11" s="9" t="s">
        <v>162</v>
      </c>
      <c r="G11" s="14"/>
      <c r="H11" s="26"/>
    </row>
    <row r="12" spans="2:10" ht="16.5" x14ac:dyDescent="0.3">
      <c r="B12" s="10"/>
      <c r="C12" s="10" t="s">
        <v>41</v>
      </c>
      <c r="D12" s="10" t="s">
        <v>27</v>
      </c>
      <c r="E12" s="10" t="s">
        <v>52</v>
      </c>
      <c r="F12" s="13" t="s">
        <v>155</v>
      </c>
      <c r="G12" s="14"/>
      <c r="H12" s="26"/>
    </row>
    <row r="13" spans="2:10" ht="16.5" x14ac:dyDescent="0.3">
      <c r="B13" s="11"/>
      <c r="C13" s="11" t="s">
        <v>41</v>
      </c>
      <c r="D13" s="11" t="s">
        <v>27</v>
      </c>
      <c r="E13" s="11" t="s">
        <v>52</v>
      </c>
      <c r="F13" s="12" t="s">
        <v>106</v>
      </c>
    </row>
    <row r="14" spans="2:10" ht="16.5" x14ac:dyDescent="0.3">
      <c r="B14" s="7"/>
      <c r="C14" s="7" t="s">
        <v>41</v>
      </c>
      <c r="D14" s="7" t="s">
        <v>27</v>
      </c>
      <c r="E14" s="7" t="s">
        <v>52</v>
      </c>
      <c r="F14" s="9" t="s">
        <v>105</v>
      </c>
    </row>
    <row r="15" spans="2:10" ht="16.5" x14ac:dyDescent="0.3">
      <c r="B15" s="7"/>
      <c r="C15" s="7" t="s">
        <v>41</v>
      </c>
      <c r="D15" s="7" t="s">
        <v>27</v>
      </c>
      <c r="E15" s="7" t="s">
        <v>52</v>
      </c>
      <c r="F15" s="9" t="s">
        <v>101</v>
      </c>
    </row>
    <row r="16" spans="2:10" ht="16.5" x14ac:dyDescent="0.3">
      <c r="B16" s="7"/>
      <c r="C16" s="7" t="s">
        <v>41</v>
      </c>
      <c r="D16" s="7" t="s">
        <v>27</v>
      </c>
      <c r="E16" s="7" t="s">
        <v>52</v>
      </c>
      <c r="F16" s="9" t="s">
        <v>161</v>
      </c>
    </row>
    <row r="17" spans="2:6" ht="16.5" x14ac:dyDescent="0.3">
      <c r="B17" s="7"/>
      <c r="C17" s="7" t="s">
        <v>41</v>
      </c>
      <c r="D17" s="7" t="s">
        <v>27</v>
      </c>
      <c r="E17" s="7" t="s">
        <v>52</v>
      </c>
      <c r="F17" s="9" t="s">
        <v>163</v>
      </c>
    </row>
    <row r="18" spans="2:6" ht="16.5" x14ac:dyDescent="0.3">
      <c r="B18" s="7"/>
      <c r="C18" s="7" t="s">
        <v>41</v>
      </c>
      <c r="D18" s="7" t="s">
        <v>27</v>
      </c>
      <c r="E18" s="7" t="s">
        <v>52</v>
      </c>
      <c r="F18" s="9" t="s">
        <v>157</v>
      </c>
    </row>
    <row r="19" spans="2:6" ht="16.5" x14ac:dyDescent="0.3">
      <c r="B19" s="10"/>
      <c r="C19" s="10" t="s">
        <v>41</v>
      </c>
      <c r="D19" s="10" t="s">
        <v>27</v>
      </c>
      <c r="E19" s="10" t="s">
        <v>52</v>
      </c>
      <c r="F19" s="13" t="s">
        <v>104</v>
      </c>
    </row>
    <row r="20" spans="2:6" ht="16.5" x14ac:dyDescent="0.3">
      <c r="B20" s="11"/>
      <c r="C20" s="11" t="s">
        <v>41</v>
      </c>
      <c r="D20" s="11" t="s">
        <v>27</v>
      </c>
      <c r="E20" s="11" t="s">
        <v>52</v>
      </c>
      <c r="F20" s="24" t="s">
        <v>103</v>
      </c>
    </row>
    <row r="21" spans="2:6" ht="16.5" x14ac:dyDescent="0.3">
      <c r="B21" s="7"/>
      <c r="C21" s="7" t="s">
        <v>41</v>
      </c>
      <c r="D21" s="7" t="s">
        <v>27</v>
      </c>
      <c r="E21" s="7" t="s">
        <v>52</v>
      </c>
      <c r="F21" s="9" t="s">
        <v>158</v>
      </c>
    </row>
    <row r="22" spans="2:6" ht="16.5" x14ac:dyDescent="0.3">
      <c r="B22" s="7"/>
      <c r="C22" s="7" t="s">
        <v>41</v>
      </c>
      <c r="D22" s="7" t="s">
        <v>27</v>
      </c>
      <c r="E22" s="7" t="s">
        <v>52</v>
      </c>
      <c r="F22" s="9" t="s">
        <v>91</v>
      </c>
    </row>
    <row r="23" spans="2:6" ht="16.5" x14ac:dyDescent="0.3">
      <c r="B23" s="10"/>
      <c r="C23" s="10" t="s">
        <v>41</v>
      </c>
      <c r="D23" s="10" t="s">
        <v>27</v>
      </c>
      <c r="E23" s="10" t="s">
        <v>52</v>
      </c>
      <c r="F23" s="13" t="s">
        <v>78</v>
      </c>
    </row>
    <row r="24" spans="2:6" ht="16.5" x14ac:dyDescent="0.3">
      <c r="B24" s="11"/>
      <c r="C24" s="11" t="s">
        <v>41</v>
      </c>
      <c r="D24" s="11" t="s">
        <v>27</v>
      </c>
      <c r="E24" s="11" t="s">
        <v>2</v>
      </c>
      <c r="F24" s="12" t="s">
        <v>53</v>
      </c>
    </row>
    <row r="25" spans="2:6" ht="16.5" x14ac:dyDescent="0.3">
      <c r="B25" s="7"/>
      <c r="C25" s="7" t="s">
        <v>41</v>
      </c>
      <c r="D25" s="7" t="s">
        <v>27</v>
      </c>
      <c r="E25" s="7" t="s">
        <v>2</v>
      </c>
      <c r="F25" s="9" t="s">
        <v>61</v>
      </c>
    </row>
    <row r="26" spans="2:6" ht="16.5" x14ac:dyDescent="0.3">
      <c r="B26" s="7"/>
      <c r="C26" s="7" t="s">
        <v>41</v>
      </c>
      <c r="D26" s="7" t="s">
        <v>27</v>
      </c>
      <c r="E26" s="7" t="s">
        <v>2</v>
      </c>
      <c r="F26" s="9" t="s">
        <v>57</v>
      </c>
    </row>
    <row r="27" spans="2:6" ht="16.5" x14ac:dyDescent="0.3">
      <c r="B27" s="7"/>
      <c r="C27" s="7" t="s">
        <v>41</v>
      </c>
      <c r="D27" s="7" t="s">
        <v>27</v>
      </c>
      <c r="E27" s="7" t="s">
        <v>2</v>
      </c>
      <c r="F27" s="9" t="s">
        <v>109</v>
      </c>
    </row>
    <row r="28" spans="2:6" ht="16.5" x14ac:dyDescent="0.3">
      <c r="B28" s="7"/>
      <c r="C28" s="7" t="s">
        <v>41</v>
      </c>
      <c r="D28" s="7" t="s">
        <v>27</v>
      </c>
      <c r="E28" s="7" t="s">
        <v>2</v>
      </c>
      <c r="F28" s="9" t="s">
        <v>54</v>
      </c>
    </row>
    <row r="29" spans="2:6" ht="16.5" x14ac:dyDescent="0.3">
      <c r="B29" s="7"/>
      <c r="C29" s="7" t="s">
        <v>41</v>
      </c>
      <c r="D29" s="7" t="s">
        <v>27</v>
      </c>
      <c r="E29" s="7" t="s">
        <v>2</v>
      </c>
      <c r="F29" s="9" t="s">
        <v>159</v>
      </c>
    </row>
    <row r="30" spans="2:6" ht="16.5" x14ac:dyDescent="0.3">
      <c r="B30" s="7"/>
      <c r="C30" s="7" t="s">
        <v>41</v>
      </c>
      <c r="D30" s="7" t="s">
        <v>27</v>
      </c>
      <c r="E30" s="7" t="s">
        <v>2</v>
      </c>
      <c r="F30" s="9" t="s">
        <v>68</v>
      </c>
    </row>
    <row r="31" spans="2:6" ht="16.5" x14ac:dyDescent="0.3">
      <c r="B31" s="10"/>
      <c r="C31" s="10" t="s">
        <v>41</v>
      </c>
      <c r="D31" s="10" t="s">
        <v>27</v>
      </c>
      <c r="E31" s="10" t="s">
        <v>2</v>
      </c>
      <c r="F31" s="13" t="s">
        <v>67</v>
      </c>
    </row>
    <row r="33" spans="2:2" x14ac:dyDescent="0.25">
      <c r="B33" t="s">
        <v>164</v>
      </c>
    </row>
  </sheetData>
  <pageMargins left="0.511811024" right="0.511811024" top="0.78740157499999996" bottom="0.78740157499999996" header="0.31496062000000002" footer="0.31496062000000002"/>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BA2A-8D04-4782-94B2-D6B23D01F3E1}">
  <dimension ref="B3:I43"/>
  <sheetViews>
    <sheetView topLeftCell="B34" zoomScale="85" zoomScaleNormal="85" workbookViewId="0">
      <selection activeCell="E13" sqref="E13"/>
    </sheetView>
  </sheetViews>
  <sheetFormatPr defaultRowHeight="15" x14ac:dyDescent="0.25"/>
  <cols>
    <col min="3" max="3" width="33.42578125" bestFit="1" customWidth="1"/>
    <col min="4" max="4" width="24.5703125" bestFit="1" customWidth="1"/>
    <col min="5" max="5" width="31.5703125" bestFit="1" customWidth="1"/>
    <col min="6" max="6" width="53.28515625" customWidth="1"/>
    <col min="9" max="9" width="36.140625" bestFit="1" customWidth="1"/>
  </cols>
  <sheetData>
    <row r="3" spans="2:9" ht="16.5" x14ac:dyDescent="0.3">
      <c r="B3" s="4" t="s">
        <v>35</v>
      </c>
      <c r="C3" s="5"/>
      <c r="D3" s="5"/>
      <c r="E3" s="5"/>
      <c r="F3" s="5"/>
    </row>
    <row r="4" spans="2:9" ht="7.5" customHeight="1" x14ac:dyDescent="0.3">
      <c r="B4" s="2"/>
      <c r="C4" s="2"/>
      <c r="D4" s="2"/>
      <c r="E4" s="2"/>
      <c r="F4" s="2"/>
    </row>
    <row r="5" spans="2:9" ht="16.5" x14ac:dyDescent="0.3">
      <c r="B5" s="6" t="s">
        <v>9</v>
      </c>
      <c r="C5" s="6" t="s">
        <v>10</v>
      </c>
      <c r="D5" s="6" t="s">
        <v>11</v>
      </c>
      <c r="E5" s="6" t="s">
        <v>12</v>
      </c>
      <c r="F5" s="6" t="s">
        <v>13</v>
      </c>
      <c r="H5" s="17" t="s">
        <v>112</v>
      </c>
      <c r="I5" s="17" t="s">
        <v>134</v>
      </c>
    </row>
    <row r="6" spans="2:9" ht="16.5" x14ac:dyDescent="0.3">
      <c r="B6" s="11"/>
      <c r="C6" s="11" t="s">
        <v>41</v>
      </c>
      <c r="D6" s="11" t="s">
        <v>27</v>
      </c>
      <c r="E6" s="11" t="s">
        <v>52</v>
      </c>
      <c r="F6" s="12" t="s">
        <v>79</v>
      </c>
      <c r="H6" s="19" t="s">
        <v>135</v>
      </c>
      <c r="I6" s="19" t="s">
        <v>150</v>
      </c>
    </row>
    <row r="7" spans="2:9" ht="16.5" x14ac:dyDescent="0.3">
      <c r="B7" s="7"/>
      <c r="C7" s="7" t="s">
        <v>41</v>
      </c>
      <c r="D7" s="7" t="s">
        <v>27</v>
      </c>
      <c r="E7" s="7" t="s">
        <v>52</v>
      </c>
      <c r="F7" s="8" t="s">
        <v>102</v>
      </c>
      <c r="H7" s="19" t="s">
        <v>123</v>
      </c>
      <c r="I7" s="19" t="s">
        <v>33</v>
      </c>
    </row>
    <row r="8" spans="2:9" ht="16.5" x14ac:dyDescent="0.3">
      <c r="B8" s="7"/>
      <c r="C8" s="7" t="s">
        <v>41</v>
      </c>
      <c r="D8" s="7" t="s">
        <v>27</v>
      </c>
      <c r="E8" s="7" t="s">
        <v>52</v>
      </c>
      <c r="F8" s="9" t="s">
        <v>100</v>
      </c>
      <c r="H8" s="19" t="s">
        <v>136</v>
      </c>
      <c r="I8" s="19" t="s">
        <v>152</v>
      </c>
    </row>
    <row r="9" spans="2:9" ht="16.5" x14ac:dyDescent="0.3">
      <c r="B9" s="7"/>
      <c r="C9" s="7" t="s">
        <v>41</v>
      </c>
      <c r="D9" s="7" t="s">
        <v>27</v>
      </c>
      <c r="E9" s="7" t="s">
        <v>52</v>
      </c>
      <c r="F9" s="9" t="s">
        <v>99</v>
      </c>
      <c r="H9" s="19" t="s">
        <v>113</v>
      </c>
      <c r="I9" s="19" t="s">
        <v>151</v>
      </c>
    </row>
    <row r="10" spans="2:9" ht="16.5" x14ac:dyDescent="0.3">
      <c r="B10" s="7"/>
      <c r="C10" s="7" t="s">
        <v>41</v>
      </c>
      <c r="D10" s="7" t="s">
        <v>27</v>
      </c>
      <c r="E10" s="7" t="s">
        <v>52</v>
      </c>
      <c r="F10" s="9" t="s">
        <v>80</v>
      </c>
      <c r="H10" s="19" t="s">
        <v>137</v>
      </c>
      <c r="I10" s="19" t="s">
        <v>153</v>
      </c>
    </row>
    <row r="11" spans="2:9" ht="16.5" x14ac:dyDescent="0.3">
      <c r="B11" s="7"/>
      <c r="C11" s="7" t="s">
        <v>41</v>
      </c>
      <c r="D11" s="7" t="s">
        <v>27</v>
      </c>
      <c r="E11" s="7" t="s">
        <v>52</v>
      </c>
      <c r="F11" s="9" t="s">
        <v>81</v>
      </c>
      <c r="H11" s="20" t="s">
        <v>138</v>
      </c>
      <c r="I11" s="20" t="s">
        <v>154</v>
      </c>
    </row>
    <row r="12" spans="2:9" ht="16.5" x14ac:dyDescent="0.3">
      <c r="B12" s="7"/>
      <c r="C12" s="7" t="s">
        <v>41</v>
      </c>
      <c r="D12" s="7" t="s">
        <v>27</v>
      </c>
      <c r="E12" s="7" t="s">
        <v>52</v>
      </c>
      <c r="F12" s="9" t="s">
        <v>82</v>
      </c>
    </row>
    <row r="13" spans="2:9" ht="16.5" x14ac:dyDescent="0.3">
      <c r="B13" s="7"/>
      <c r="C13" s="7" t="s">
        <v>41</v>
      </c>
      <c r="D13" s="7" t="s">
        <v>27</v>
      </c>
      <c r="E13" s="7" t="s">
        <v>52</v>
      </c>
      <c r="F13" s="9" t="s">
        <v>83</v>
      </c>
    </row>
    <row r="14" spans="2:9" ht="16.5" x14ac:dyDescent="0.3">
      <c r="B14" s="7"/>
      <c r="C14" s="7" t="s">
        <v>41</v>
      </c>
      <c r="D14" s="7" t="s">
        <v>27</v>
      </c>
      <c r="E14" s="7" t="s">
        <v>52</v>
      </c>
      <c r="F14" s="9" t="s">
        <v>84</v>
      </c>
    </row>
    <row r="15" spans="2:9" ht="16.5" x14ac:dyDescent="0.3">
      <c r="B15" s="7"/>
      <c r="C15" s="7" t="s">
        <v>41</v>
      </c>
      <c r="D15" s="7" t="s">
        <v>27</v>
      </c>
      <c r="E15" s="7" t="s">
        <v>52</v>
      </c>
      <c r="F15" s="9" t="s">
        <v>106</v>
      </c>
    </row>
    <row r="16" spans="2:9" ht="16.5" x14ac:dyDescent="0.3">
      <c r="B16" s="7"/>
      <c r="C16" s="7" t="s">
        <v>41</v>
      </c>
      <c r="D16" s="7" t="s">
        <v>27</v>
      </c>
      <c r="E16" s="7" t="s">
        <v>52</v>
      </c>
      <c r="F16" s="9" t="s">
        <v>107</v>
      </c>
    </row>
    <row r="17" spans="2:6" ht="16.5" x14ac:dyDescent="0.3">
      <c r="B17" s="7"/>
      <c r="C17" s="7" t="s">
        <v>41</v>
      </c>
      <c r="D17" s="7" t="s">
        <v>27</v>
      </c>
      <c r="E17" s="7" t="s">
        <v>52</v>
      </c>
      <c r="F17" s="9" t="s">
        <v>108</v>
      </c>
    </row>
    <row r="18" spans="2:6" ht="16.5" x14ac:dyDescent="0.3">
      <c r="B18" s="7"/>
      <c r="C18" s="7" t="s">
        <v>41</v>
      </c>
      <c r="D18" s="7" t="s">
        <v>27</v>
      </c>
      <c r="E18" s="7" t="s">
        <v>52</v>
      </c>
      <c r="F18" s="9" t="s">
        <v>85</v>
      </c>
    </row>
    <row r="19" spans="2:6" ht="16.5" x14ac:dyDescent="0.3">
      <c r="B19" s="7"/>
      <c r="C19" s="7" t="s">
        <v>41</v>
      </c>
      <c r="D19" s="7" t="s">
        <v>27</v>
      </c>
      <c r="E19" s="7" t="s">
        <v>52</v>
      </c>
      <c r="F19" s="9" t="s">
        <v>87</v>
      </c>
    </row>
    <row r="20" spans="2:6" ht="16.5" x14ac:dyDescent="0.3">
      <c r="B20" s="7"/>
      <c r="C20" s="7" t="s">
        <v>41</v>
      </c>
      <c r="D20" s="7" t="s">
        <v>27</v>
      </c>
      <c r="E20" s="7" t="s">
        <v>52</v>
      </c>
      <c r="F20" s="9" t="s">
        <v>86</v>
      </c>
    </row>
    <row r="21" spans="2:6" ht="16.5" x14ac:dyDescent="0.3">
      <c r="B21" s="7"/>
      <c r="C21" s="7" t="s">
        <v>41</v>
      </c>
      <c r="D21" s="7" t="s">
        <v>27</v>
      </c>
      <c r="E21" s="7" t="s">
        <v>52</v>
      </c>
      <c r="F21" s="9" t="s">
        <v>111</v>
      </c>
    </row>
    <row r="22" spans="2:6" ht="16.5" x14ac:dyDescent="0.3">
      <c r="B22" s="7"/>
      <c r="C22" s="7" t="s">
        <v>41</v>
      </c>
      <c r="D22" s="7" t="s">
        <v>27</v>
      </c>
      <c r="E22" s="7" t="s">
        <v>52</v>
      </c>
      <c r="F22" s="9" t="s">
        <v>88</v>
      </c>
    </row>
    <row r="23" spans="2:6" ht="16.5" x14ac:dyDescent="0.3">
      <c r="B23" s="7"/>
      <c r="C23" s="7" t="s">
        <v>41</v>
      </c>
      <c r="D23" s="7" t="s">
        <v>27</v>
      </c>
      <c r="E23" s="7" t="s">
        <v>52</v>
      </c>
      <c r="F23" s="9" t="s">
        <v>91</v>
      </c>
    </row>
    <row r="24" spans="2:6" ht="16.5" x14ac:dyDescent="0.3">
      <c r="B24" s="7"/>
      <c r="C24" s="7" t="s">
        <v>41</v>
      </c>
      <c r="D24" s="7" t="s">
        <v>27</v>
      </c>
      <c r="E24" s="7" t="s">
        <v>52</v>
      </c>
      <c r="F24" s="9" t="s">
        <v>89</v>
      </c>
    </row>
    <row r="25" spans="2:6" ht="16.5" x14ac:dyDescent="0.3">
      <c r="B25" s="7"/>
      <c r="C25" s="7" t="s">
        <v>41</v>
      </c>
      <c r="D25" s="7" t="s">
        <v>27</v>
      </c>
      <c r="E25" s="7" t="s">
        <v>52</v>
      </c>
      <c r="F25" s="9" t="s">
        <v>90</v>
      </c>
    </row>
    <row r="26" spans="2:6" ht="16.5" x14ac:dyDescent="0.3">
      <c r="B26" s="10"/>
      <c r="C26" s="10" t="s">
        <v>41</v>
      </c>
      <c r="D26" s="10" t="s">
        <v>27</v>
      </c>
      <c r="E26" s="10" t="s">
        <v>52</v>
      </c>
      <c r="F26" s="13" t="s">
        <v>78</v>
      </c>
    </row>
    <row r="27" spans="2:6" ht="16.5" x14ac:dyDescent="0.3">
      <c r="B27" s="11"/>
      <c r="C27" s="11" t="s">
        <v>41</v>
      </c>
      <c r="D27" s="11" t="s">
        <v>27</v>
      </c>
      <c r="E27" s="11" t="s">
        <v>2</v>
      </c>
      <c r="F27" s="12" t="s">
        <v>53</v>
      </c>
    </row>
    <row r="28" spans="2:6" ht="16.5" x14ac:dyDescent="0.3">
      <c r="B28" s="7"/>
      <c r="C28" s="7" t="s">
        <v>41</v>
      </c>
      <c r="D28" s="7" t="s">
        <v>27</v>
      </c>
      <c r="E28" s="7" t="s">
        <v>2</v>
      </c>
      <c r="F28" s="9" t="s">
        <v>59</v>
      </c>
    </row>
    <row r="29" spans="2:6" ht="16.5" x14ac:dyDescent="0.3">
      <c r="B29" s="7"/>
      <c r="C29" s="7" t="s">
        <v>41</v>
      </c>
      <c r="D29" s="7" t="s">
        <v>27</v>
      </c>
      <c r="E29" s="7" t="s">
        <v>2</v>
      </c>
      <c r="F29" s="9" t="s">
        <v>57</v>
      </c>
    </row>
    <row r="30" spans="2:6" ht="16.5" x14ac:dyDescent="0.3">
      <c r="B30" s="7"/>
      <c r="C30" s="7" t="s">
        <v>41</v>
      </c>
      <c r="D30" s="7" t="s">
        <v>27</v>
      </c>
      <c r="E30" s="7" t="s">
        <v>2</v>
      </c>
      <c r="F30" s="9" t="s">
        <v>109</v>
      </c>
    </row>
    <row r="31" spans="2:6" ht="16.5" x14ac:dyDescent="0.3">
      <c r="B31" s="7"/>
      <c r="C31" s="7" t="s">
        <v>41</v>
      </c>
      <c r="D31" s="7" t="s">
        <v>27</v>
      </c>
      <c r="E31" s="7" t="s">
        <v>2</v>
      </c>
      <c r="F31" s="9" t="s">
        <v>66</v>
      </c>
    </row>
    <row r="32" spans="2:6" ht="16.5" x14ac:dyDescent="0.3">
      <c r="B32" s="7"/>
      <c r="C32" s="7" t="s">
        <v>41</v>
      </c>
      <c r="D32" s="7" t="s">
        <v>27</v>
      </c>
      <c r="E32" s="7" t="s">
        <v>2</v>
      </c>
      <c r="F32" s="9" t="s">
        <v>54</v>
      </c>
    </row>
    <row r="33" spans="2:6" ht="16.5" x14ac:dyDescent="0.3">
      <c r="B33" s="7"/>
      <c r="C33" s="7" t="s">
        <v>41</v>
      </c>
      <c r="D33" s="7" t="s">
        <v>27</v>
      </c>
      <c r="E33" s="7" t="s">
        <v>2</v>
      </c>
      <c r="F33" s="9" t="s">
        <v>60</v>
      </c>
    </row>
    <row r="34" spans="2:6" ht="16.5" x14ac:dyDescent="0.3">
      <c r="B34" s="7"/>
      <c r="C34" s="7" t="s">
        <v>41</v>
      </c>
      <c r="D34" s="7" t="s">
        <v>27</v>
      </c>
      <c r="E34" s="7" t="s">
        <v>2</v>
      </c>
      <c r="F34" s="9" t="s">
        <v>55</v>
      </c>
    </row>
    <row r="35" spans="2:6" ht="16.5" x14ac:dyDescent="0.3">
      <c r="B35" s="7"/>
      <c r="C35" s="7" t="s">
        <v>41</v>
      </c>
      <c r="D35" s="7" t="s">
        <v>27</v>
      </c>
      <c r="E35" s="7" t="s">
        <v>2</v>
      </c>
      <c r="F35" s="9" t="s">
        <v>61</v>
      </c>
    </row>
    <row r="36" spans="2:6" ht="16.5" x14ac:dyDescent="0.3">
      <c r="B36" s="7"/>
      <c r="C36" s="7" t="s">
        <v>41</v>
      </c>
      <c r="D36" s="7" t="s">
        <v>27</v>
      </c>
      <c r="E36" s="7" t="s">
        <v>2</v>
      </c>
      <c r="F36" s="9" t="s">
        <v>56</v>
      </c>
    </row>
    <row r="37" spans="2:6" ht="16.5" x14ac:dyDescent="0.3">
      <c r="B37" s="7"/>
      <c r="C37" s="7" t="s">
        <v>41</v>
      </c>
      <c r="D37" s="7" t="s">
        <v>27</v>
      </c>
      <c r="E37" s="7" t="s">
        <v>2</v>
      </c>
      <c r="F37" s="9" t="s">
        <v>64</v>
      </c>
    </row>
    <row r="38" spans="2:6" ht="16.5" x14ac:dyDescent="0.3">
      <c r="B38" s="7"/>
      <c r="C38" s="7" t="s">
        <v>41</v>
      </c>
      <c r="D38" s="7" t="s">
        <v>27</v>
      </c>
      <c r="E38" s="7" t="s">
        <v>2</v>
      </c>
      <c r="F38" s="9" t="s">
        <v>63</v>
      </c>
    </row>
    <row r="39" spans="2:6" ht="16.5" x14ac:dyDescent="0.3">
      <c r="B39" s="7"/>
      <c r="C39" s="7" t="s">
        <v>41</v>
      </c>
      <c r="D39" s="7" t="s">
        <v>27</v>
      </c>
      <c r="E39" s="7" t="s">
        <v>2</v>
      </c>
      <c r="F39" s="9" t="s">
        <v>68</v>
      </c>
    </row>
    <row r="40" spans="2:6" ht="16.5" x14ac:dyDescent="0.3">
      <c r="B40" s="7"/>
      <c r="C40" s="7" t="s">
        <v>41</v>
      </c>
      <c r="D40" s="7" t="s">
        <v>27</v>
      </c>
      <c r="E40" s="7" t="s">
        <v>2</v>
      </c>
      <c r="F40" s="9" t="s">
        <v>62</v>
      </c>
    </row>
    <row r="41" spans="2:6" ht="16.5" x14ac:dyDescent="0.3">
      <c r="B41" s="7"/>
      <c r="C41" s="7" t="s">
        <v>41</v>
      </c>
      <c r="D41" s="7" t="s">
        <v>27</v>
      </c>
      <c r="E41" s="7" t="s">
        <v>2</v>
      </c>
      <c r="F41" s="9" t="s">
        <v>67</v>
      </c>
    </row>
    <row r="42" spans="2:6" ht="16.5" x14ac:dyDescent="0.3">
      <c r="B42" s="7"/>
      <c r="C42" s="7" t="s">
        <v>41</v>
      </c>
      <c r="D42" s="7" t="s">
        <v>27</v>
      </c>
      <c r="E42" s="7" t="s">
        <v>2</v>
      </c>
      <c r="F42" s="9" t="s">
        <v>58</v>
      </c>
    </row>
    <row r="43" spans="2:6" ht="16.5" x14ac:dyDescent="0.3">
      <c r="B43" s="10"/>
      <c r="C43" s="10" t="s">
        <v>41</v>
      </c>
      <c r="D43" s="10" t="s">
        <v>27</v>
      </c>
      <c r="E43" s="10" t="s">
        <v>2</v>
      </c>
      <c r="F43" s="13" t="s">
        <v>65</v>
      </c>
    </row>
  </sheetData>
  <sortState xmlns:xlrd2="http://schemas.microsoft.com/office/spreadsheetml/2017/richdata2" ref="F28:F43">
    <sortCondition ref="F28:F43"/>
  </sortState>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0222-7DF2-4DBE-95BE-D07A2FFDD0F6}">
  <dimension ref="B3:K34"/>
  <sheetViews>
    <sheetView zoomScale="80" zoomScaleNormal="80" workbookViewId="0">
      <selection activeCell="E13" sqref="E13"/>
    </sheetView>
  </sheetViews>
  <sheetFormatPr defaultRowHeight="15" x14ac:dyDescent="0.25"/>
  <cols>
    <col min="3" max="3" width="33.42578125" bestFit="1" customWidth="1"/>
    <col min="4" max="4" width="24.5703125" bestFit="1" customWidth="1"/>
    <col min="5" max="5" width="12.28515625" customWidth="1"/>
    <col min="6" max="6" width="36.42578125" customWidth="1"/>
    <col min="7" max="7" width="22.7109375" style="21" hidden="1" customWidth="1"/>
    <col min="8" max="8" width="0" style="23" hidden="1" customWidth="1"/>
    <col min="9" max="9" width="11.42578125" customWidth="1"/>
    <col min="11" max="11" width="37" bestFit="1" customWidth="1"/>
  </cols>
  <sheetData>
    <row r="3" spans="2:11" ht="16.5" x14ac:dyDescent="0.3">
      <c r="B3" s="4" t="s">
        <v>34</v>
      </c>
      <c r="C3" s="5"/>
      <c r="D3" s="5"/>
      <c r="E3" s="5"/>
      <c r="F3" s="5"/>
      <c r="G3" s="15"/>
    </row>
    <row r="4" spans="2:11" ht="7.5" customHeight="1" x14ac:dyDescent="0.3">
      <c r="B4" s="2"/>
      <c r="C4" s="2"/>
      <c r="D4" s="2"/>
      <c r="E4" s="2"/>
      <c r="F4" s="2"/>
      <c r="G4" s="16"/>
    </row>
    <row r="5" spans="2:11" ht="16.5" x14ac:dyDescent="0.3">
      <c r="B5" s="6" t="s">
        <v>9</v>
      </c>
      <c r="C5" s="6" t="s">
        <v>10</v>
      </c>
      <c r="D5" s="6" t="s">
        <v>11</v>
      </c>
      <c r="E5" s="6" t="s">
        <v>12</v>
      </c>
      <c r="F5" s="6" t="s">
        <v>13</v>
      </c>
      <c r="G5" s="17" t="s">
        <v>112</v>
      </c>
      <c r="J5" s="17" t="s">
        <v>112</v>
      </c>
      <c r="K5" s="17" t="s">
        <v>134</v>
      </c>
    </row>
    <row r="6" spans="2:11" ht="16.5" x14ac:dyDescent="0.3">
      <c r="B6" s="7"/>
      <c r="C6" s="7" t="s">
        <v>41</v>
      </c>
      <c r="D6" s="7" t="s">
        <v>27</v>
      </c>
      <c r="E6" s="7" t="s">
        <v>52</v>
      </c>
      <c r="F6" s="8" t="s">
        <v>91</v>
      </c>
      <c r="G6" s="19" t="s">
        <v>114</v>
      </c>
      <c r="J6" s="19" t="s">
        <v>135</v>
      </c>
      <c r="K6" s="19" t="s">
        <v>142</v>
      </c>
    </row>
    <row r="7" spans="2:11" ht="16.5" x14ac:dyDescent="0.3">
      <c r="B7" s="7"/>
      <c r="C7" s="7" t="s">
        <v>41</v>
      </c>
      <c r="D7" s="7" t="s">
        <v>27</v>
      </c>
      <c r="E7" s="7" t="s">
        <v>52</v>
      </c>
      <c r="F7" s="9" t="s">
        <v>78</v>
      </c>
      <c r="G7" s="19" t="s">
        <v>114</v>
      </c>
      <c r="J7" s="19" t="s">
        <v>123</v>
      </c>
      <c r="K7" s="19" t="s">
        <v>143</v>
      </c>
    </row>
    <row r="8" spans="2:11" ht="16.5" x14ac:dyDescent="0.3">
      <c r="B8" s="7"/>
      <c r="C8" s="7" t="s">
        <v>41</v>
      </c>
      <c r="D8" s="7" t="s">
        <v>27</v>
      </c>
      <c r="E8" s="7" t="s">
        <v>52</v>
      </c>
      <c r="F8" s="9" t="s">
        <v>115</v>
      </c>
      <c r="G8" s="19" t="s">
        <v>116</v>
      </c>
      <c r="H8" s="22" t="s">
        <v>126</v>
      </c>
      <c r="J8" s="19" t="s">
        <v>136</v>
      </c>
      <c r="K8" s="19" t="s">
        <v>144</v>
      </c>
    </row>
    <row r="9" spans="2:11" ht="16.5" x14ac:dyDescent="0.3">
      <c r="B9" s="7"/>
      <c r="C9" s="7" t="s">
        <v>41</v>
      </c>
      <c r="D9" s="7" t="s">
        <v>27</v>
      </c>
      <c r="E9" s="7" t="s">
        <v>52</v>
      </c>
      <c r="F9" s="9" t="s">
        <v>117</v>
      </c>
      <c r="G9" s="19" t="s">
        <v>118</v>
      </c>
      <c r="H9" s="14" t="s">
        <v>132</v>
      </c>
      <c r="J9" s="19" t="s">
        <v>113</v>
      </c>
      <c r="K9" s="19" t="s">
        <v>149</v>
      </c>
    </row>
    <row r="10" spans="2:11" ht="16.5" x14ac:dyDescent="0.3">
      <c r="B10" s="7"/>
      <c r="C10" s="7" t="s">
        <v>41</v>
      </c>
      <c r="D10" s="7" t="s">
        <v>27</v>
      </c>
      <c r="E10" s="7" t="s">
        <v>52</v>
      </c>
      <c r="F10" s="9" t="s">
        <v>92</v>
      </c>
      <c r="G10" s="19" t="s">
        <v>114</v>
      </c>
      <c r="J10" s="19" t="s">
        <v>137</v>
      </c>
      <c r="K10" s="19" t="s">
        <v>145</v>
      </c>
    </row>
    <row r="11" spans="2:11" ht="16.5" x14ac:dyDescent="0.3">
      <c r="B11" s="7"/>
      <c r="C11" s="7" t="s">
        <v>41</v>
      </c>
      <c r="D11" s="7" t="s">
        <v>27</v>
      </c>
      <c r="E11" s="7" t="s">
        <v>52</v>
      </c>
      <c r="F11" s="9" t="s">
        <v>93</v>
      </c>
      <c r="G11" s="19" t="s">
        <v>114</v>
      </c>
      <c r="J11" s="19" t="s">
        <v>138</v>
      </c>
      <c r="K11" s="19" t="s">
        <v>133</v>
      </c>
    </row>
    <row r="12" spans="2:11" ht="16.5" x14ac:dyDescent="0.3">
      <c r="B12" s="7"/>
      <c r="C12" s="7" t="s">
        <v>41</v>
      </c>
      <c r="D12" s="7" t="s">
        <v>27</v>
      </c>
      <c r="E12" s="7" t="s">
        <v>52</v>
      </c>
      <c r="F12" s="9" t="s">
        <v>90</v>
      </c>
      <c r="G12" s="19"/>
      <c r="J12" s="19" t="s">
        <v>139</v>
      </c>
      <c r="K12" s="19" t="s">
        <v>146</v>
      </c>
    </row>
    <row r="13" spans="2:11" ht="16.5" x14ac:dyDescent="0.3">
      <c r="B13" s="7"/>
      <c r="C13" s="7" t="s">
        <v>41</v>
      </c>
      <c r="D13" s="7" t="s">
        <v>27</v>
      </c>
      <c r="E13" s="7" t="s">
        <v>52</v>
      </c>
      <c r="F13" s="9" t="s">
        <v>94</v>
      </c>
      <c r="G13" s="19" t="s">
        <v>116</v>
      </c>
      <c r="H13" s="22" t="s">
        <v>126</v>
      </c>
      <c r="J13" s="19" t="s">
        <v>140</v>
      </c>
      <c r="K13" s="19" t="s">
        <v>147</v>
      </c>
    </row>
    <row r="14" spans="2:11" ht="16.5" x14ac:dyDescent="0.3">
      <c r="B14" s="7"/>
      <c r="C14" s="7" t="s">
        <v>41</v>
      </c>
      <c r="D14" s="7" t="s">
        <v>27</v>
      </c>
      <c r="E14" s="7" t="s">
        <v>52</v>
      </c>
      <c r="F14" s="9" t="s">
        <v>95</v>
      </c>
      <c r="G14" s="19" t="s">
        <v>114</v>
      </c>
      <c r="J14" s="20" t="s">
        <v>141</v>
      </c>
      <c r="K14" s="20" t="s">
        <v>148</v>
      </c>
    </row>
    <row r="15" spans="2:11" ht="16.5" x14ac:dyDescent="0.3">
      <c r="B15" s="7"/>
      <c r="C15" s="7" t="s">
        <v>41</v>
      </c>
      <c r="D15" s="7" t="s">
        <v>27</v>
      </c>
      <c r="E15" s="7" t="s">
        <v>52</v>
      </c>
      <c r="F15" s="9" t="s">
        <v>96</v>
      </c>
      <c r="G15" s="19" t="s">
        <v>116</v>
      </c>
      <c r="H15" s="22" t="s">
        <v>126</v>
      </c>
    </row>
    <row r="16" spans="2:11" ht="16.5" x14ac:dyDescent="0.3">
      <c r="B16" s="7"/>
      <c r="C16" s="7" t="s">
        <v>41</v>
      </c>
      <c r="D16" s="7" t="s">
        <v>27</v>
      </c>
      <c r="E16" s="7" t="s">
        <v>52</v>
      </c>
      <c r="F16" s="9" t="s">
        <v>97</v>
      </c>
      <c r="G16" s="19" t="s">
        <v>118</v>
      </c>
      <c r="H16" s="14" t="s">
        <v>132</v>
      </c>
    </row>
    <row r="17" spans="2:8" ht="16.5" x14ac:dyDescent="0.3">
      <c r="B17" s="7"/>
      <c r="C17" s="7" t="s">
        <v>41</v>
      </c>
      <c r="D17" s="7" t="s">
        <v>27</v>
      </c>
      <c r="E17" s="7" t="s">
        <v>52</v>
      </c>
      <c r="F17" s="9" t="s">
        <v>98</v>
      </c>
      <c r="G17" s="19" t="s">
        <v>114</v>
      </c>
    </row>
    <row r="18" spans="2:8" ht="16.5" x14ac:dyDescent="0.3">
      <c r="B18" s="10"/>
      <c r="C18" s="10" t="s">
        <v>41</v>
      </c>
      <c r="D18" s="10" t="s">
        <v>27</v>
      </c>
      <c r="E18" s="10" t="s">
        <v>52</v>
      </c>
      <c r="F18" s="13" t="s">
        <v>119</v>
      </c>
      <c r="G18" s="20" t="s">
        <v>113</v>
      </c>
      <c r="H18" s="14" t="s">
        <v>133</v>
      </c>
    </row>
    <row r="19" spans="2:8" ht="16.5" x14ac:dyDescent="0.3">
      <c r="B19" s="11"/>
      <c r="C19" s="11" t="s">
        <v>41</v>
      </c>
      <c r="D19" s="11" t="s">
        <v>27</v>
      </c>
      <c r="E19" s="11" t="s">
        <v>2</v>
      </c>
      <c r="F19" s="12" t="s">
        <v>53</v>
      </c>
      <c r="G19" s="18"/>
      <c r="H19" s="14"/>
    </row>
    <row r="20" spans="2:8" ht="16.5" x14ac:dyDescent="0.3">
      <c r="B20" s="7"/>
      <c r="C20" s="7" t="s">
        <v>41</v>
      </c>
      <c r="D20" s="7" t="s">
        <v>27</v>
      </c>
      <c r="E20" s="7" t="s">
        <v>2</v>
      </c>
      <c r="F20" s="9" t="s">
        <v>69</v>
      </c>
      <c r="G20" s="19" t="s">
        <v>121</v>
      </c>
      <c r="H20" s="14" t="s">
        <v>122</v>
      </c>
    </row>
    <row r="21" spans="2:8" ht="16.5" x14ac:dyDescent="0.3">
      <c r="B21" s="7"/>
      <c r="C21" s="7" t="s">
        <v>41</v>
      </c>
      <c r="D21" s="7" t="s">
        <v>27</v>
      </c>
      <c r="E21" s="7" t="s">
        <v>2</v>
      </c>
      <c r="F21" s="9" t="s">
        <v>131</v>
      </c>
      <c r="G21" s="19" t="s">
        <v>118</v>
      </c>
      <c r="H21" s="14" t="s">
        <v>132</v>
      </c>
    </row>
    <row r="22" spans="2:8" ht="16.5" x14ac:dyDescent="0.3">
      <c r="B22" s="7"/>
      <c r="C22" s="7" t="s">
        <v>41</v>
      </c>
      <c r="D22" s="7" t="s">
        <v>27</v>
      </c>
      <c r="E22" s="7" t="s">
        <v>2</v>
      </c>
      <c r="F22" s="9" t="s">
        <v>75</v>
      </c>
      <c r="G22" s="19" t="s">
        <v>121</v>
      </c>
      <c r="H22" s="14"/>
    </row>
    <row r="23" spans="2:8" ht="16.5" x14ac:dyDescent="0.3">
      <c r="B23" s="7"/>
      <c r="C23" s="7" t="s">
        <v>41</v>
      </c>
      <c r="D23" s="7" t="s">
        <v>27</v>
      </c>
      <c r="E23" s="7" t="s">
        <v>2</v>
      </c>
      <c r="F23" s="9" t="s">
        <v>70</v>
      </c>
      <c r="G23" s="19" t="s">
        <v>123</v>
      </c>
      <c r="H23" s="14"/>
    </row>
    <row r="24" spans="2:8" ht="16.5" x14ac:dyDescent="0.3">
      <c r="B24" s="7"/>
      <c r="C24" s="7" t="s">
        <v>41</v>
      </c>
      <c r="D24" s="7" t="s">
        <v>27</v>
      </c>
      <c r="E24" s="7" t="s">
        <v>2</v>
      </c>
      <c r="F24" s="9" t="s">
        <v>71</v>
      </c>
      <c r="G24" s="19" t="s">
        <v>124</v>
      </c>
      <c r="H24" s="14"/>
    </row>
    <row r="25" spans="2:8" ht="16.5" x14ac:dyDescent="0.3">
      <c r="B25" s="7"/>
      <c r="C25" s="7" t="s">
        <v>41</v>
      </c>
      <c r="D25" s="7" t="s">
        <v>27</v>
      </c>
      <c r="E25" s="7" t="s">
        <v>2</v>
      </c>
      <c r="F25" s="9" t="s">
        <v>54</v>
      </c>
      <c r="G25" s="19" t="s">
        <v>114</v>
      </c>
      <c r="H25" s="14"/>
    </row>
    <row r="26" spans="2:8" ht="16.5" x14ac:dyDescent="0.3">
      <c r="B26" s="7"/>
      <c r="C26" s="7" t="s">
        <v>41</v>
      </c>
      <c r="D26" s="7" t="s">
        <v>27</v>
      </c>
      <c r="E26" s="7" t="s">
        <v>2</v>
      </c>
      <c r="F26" s="9" t="s">
        <v>72</v>
      </c>
      <c r="G26" s="19"/>
      <c r="H26" s="14" t="s">
        <v>125</v>
      </c>
    </row>
    <row r="27" spans="2:8" ht="16.5" x14ac:dyDescent="0.3">
      <c r="B27" s="7"/>
      <c r="C27" s="7" t="s">
        <v>41</v>
      </c>
      <c r="D27" s="7" t="s">
        <v>27</v>
      </c>
      <c r="E27" s="7" t="s">
        <v>2</v>
      </c>
      <c r="F27" s="9" t="s">
        <v>73</v>
      </c>
      <c r="G27" s="19"/>
      <c r="H27" s="14" t="s">
        <v>126</v>
      </c>
    </row>
    <row r="28" spans="2:8" ht="16.5" x14ac:dyDescent="0.3">
      <c r="B28" s="7"/>
      <c r="C28" s="7" t="s">
        <v>41</v>
      </c>
      <c r="D28" s="7" t="s">
        <v>27</v>
      </c>
      <c r="E28" s="7" t="s">
        <v>2</v>
      </c>
      <c r="F28" s="9" t="s">
        <v>74</v>
      </c>
      <c r="G28" s="19"/>
      <c r="H28" s="14" t="s">
        <v>127</v>
      </c>
    </row>
    <row r="29" spans="2:8" ht="16.5" x14ac:dyDescent="0.3">
      <c r="B29" s="7"/>
      <c r="C29" s="7" t="s">
        <v>41</v>
      </c>
      <c r="D29" s="7" t="s">
        <v>27</v>
      </c>
      <c r="E29" s="7" t="s">
        <v>2</v>
      </c>
      <c r="F29" s="9" t="s">
        <v>128</v>
      </c>
      <c r="G29" s="19"/>
      <c r="H29" s="14" t="s">
        <v>129</v>
      </c>
    </row>
    <row r="30" spans="2:8" ht="16.5" x14ac:dyDescent="0.3">
      <c r="B30" s="7"/>
      <c r="C30" s="7" t="s">
        <v>41</v>
      </c>
      <c r="D30" s="7" t="s">
        <v>27</v>
      </c>
      <c r="E30" s="7" t="s">
        <v>2</v>
      </c>
      <c r="F30" s="9" t="s">
        <v>57</v>
      </c>
      <c r="G30" s="19"/>
      <c r="H30" s="14" t="s">
        <v>127</v>
      </c>
    </row>
    <row r="31" spans="2:8" ht="16.5" x14ac:dyDescent="0.3">
      <c r="B31" s="7"/>
      <c r="C31" s="7" t="s">
        <v>41</v>
      </c>
      <c r="D31" s="7" t="s">
        <v>27</v>
      </c>
      <c r="E31" s="7" t="s">
        <v>2</v>
      </c>
      <c r="F31" s="9" t="s">
        <v>120</v>
      </c>
      <c r="G31" s="19"/>
      <c r="H31" s="14"/>
    </row>
    <row r="32" spans="2:8" ht="16.5" x14ac:dyDescent="0.3">
      <c r="B32" s="7"/>
      <c r="C32" s="7" t="s">
        <v>41</v>
      </c>
      <c r="D32" s="7" t="s">
        <v>27</v>
      </c>
      <c r="E32" s="7" t="s">
        <v>2</v>
      </c>
      <c r="F32" s="9" t="s">
        <v>76</v>
      </c>
      <c r="G32" s="19"/>
      <c r="H32" s="14"/>
    </row>
    <row r="33" spans="2:8" ht="16.5" x14ac:dyDescent="0.3">
      <c r="B33" s="10"/>
      <c r="C33" s="10" t="s">
        <v>41</v>
      </c>
      <c r="D33" s="10" t="s">
        <v>27</v>
      </c>
      <c r="E33" s="10" t="s">
        <v>2</v>
      </c>
      <c r="F33" s="13" t="s">
        <v>77</v>
      </c>
      <c r="G33" s="20"/>
      <c r="H33" s="14" t="s">
        <v>130</v>
      </c>
    </row>
    <row r="34" spans="2:8" ht="16.5" x14ac:dyDescent="0.3">
      <c r="H34" s="14"/>
    </row>
  </sheetData>
  <phoneticPr fontId="2" type="noConversion"/>
  <pageMargins left="0.511811024" right="0.511811024" top="0.78740157499999996" bottom="0.78740157499999996" header="0.31496062000000002" footer="0.31496062000000002"/>
  <pageSetup paperSize="9" orientation="portrait" horizontalDpi="0" verticalDpi="0" r:id="rId1"/>
  <ignoredErrors>
    <ignoredError sqref="J6:J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24D6F-6205-4E0A-87A9-F29DF08068C4}">
  <dimension ref="B5:D49"/>
  <sheetViews>
    <sheetView zoomScale="70" zoomScaleNormal="70" workbookViewId="0">
      <selection activeCell="E13" sqref="E13"/>
    </sheetView>
  </sheetViews>
  <sheetFormatPr defaultRowHeight="15" x14ac:dyDescent="0.25"/>
  <cols>
    <col min="2" max="2" width="43.140625" bestFit="1" customWidth="1"/>
    <col min="3" max="3" width="255.7109375" bestFit="1" customWidth="1"/>
  </cols>
  <sheetData>
    <row r="5" spans="2:3" x14ac:dyDescent="0.25">
      <c r="B5" t="s">
        <v>192</v>
      </c>
    </row>
    <row r="6" spans="2:3" x14ac:dyDescent="0.25">
      <c r="B6" s="27" t="s">
        <v>185</v>
      </c>
      <c r="C6" s="27" t="s">
        <v>193</v>
      </c>
    </row>
    <row r="7" spans="2:3" x14ac:dyDescent="0.25">
      <c r="B7" s="27" t="s">
        <v>186</v>
      </c>
      <c r="C7" s="27" t="s">
        <v>194</v>
      </c>
    </row>
    <row r="8" spans="2:3" x14ac:dyDescent="0.25">
      <c r="B8" s="27" t="s">
        <v>187</v>
      </c>
      <c r="C8" s="27" t="s">
        <v>195</v>
      </c>
    </row>
    <row r="9" spans="2:3" x14ac:dyDescent="0.25">
      <c r="B9" s="27" t="s">
        <v>188</v>
      </c>
      <c r="C9" s="27" t="s">
        <v>196</v>
      </c>
    </row>
    <row r="10" spans="2:3" x14ac:dyDescent="0.25">
      <c r="B10" s="27" t="s">
        <v>189</v>
      </c>
      <c r="C10" s="27" t="s">
        <v>197</v>
      </c>
    </row>
    <row r="11" spans="2:3" x14ac:dyDescent="0.25">
      <c r="B11" s="27" t="s">
        <v>190</v>
      </c>
      <c r="C11" s="27" t="s">
        <v>198</v>
      </c>
    </row>
    <row r="12" spans="2:3" x14ac:dyDescent="0.25">
      <c r="B12" s="27" t="s">
        <v>191</v>
      </c>
      <c r="C12" s="27" t="s">
        <v>199</v>
      </c>
    </row>
    <row r="13" spans="2:3" x14ac:dyDescent="0.25">
      <c r="B13" s="27" t="s">
        <v>15</v>
      </c>
      <c r="C13" s="27" t="s">
        <v>206</v>
      </c>
    </row>
    <row r="16" spans="2:3" x14ac:dyDescent="0.25">
      <c r="B16" t="s">
        <v>34</v>
      </c>
    </row>
    <row r="17" spans="2:4" x14ac:dyDescent="0.25">
      <c r="B17" s="27" t="s">
        <v>170</v>
      </c>
      <c r="C17" s="27" t="s">
        <v>203</v>
      </c>
      <c r="D17" s="23"/>
    </row>
    <row r="18" spans="2:4" x14ac:dyDescent="0.25">
      <c r="B18" s="27" t="s">
        <v>176</v>
      </c>
      <c r="C18" s="27" t="s">
        <v>172</v>
      </c>
      <c r="D18" s="23"/>
    </row>
    <row r="19" spans="2:4" x14ac:dyDescent="0.25">
      <c r="B19" s="27" t="s">
        <v>171</v>
      </c>
      <c r="C19" s="27" t="s">
        <v>173</v>
      </c>
      <c r="D19" s="23"/>
    </row>
    <row r="20" spans="2:4" x14ac:dyDescent="0.25">
      <c r="B20" s="27" t="s">
        <v>174</v>
      </c>
      <c r="C20" s="27" t="s">
        <v>175</v>
      </c>
      <c r="D20" s="23"/>
    </row>
    <row r="21" spans="2:4" x14ac:dyDescent="0.25">
      <c r="B21" s="27" t="s">
        <v>177</v>
      </c>
      <c r="C21" s="27" t="s">
        <v>178</v>
      </c>
      <c r="D21" s="23"/>
    </row>
    <row r="22" spans="2:4" x14ac:dyDescent="0.25">
      <c r="B22" s="27" t="s">
        <v>179</v>
      </c>
      <c r="C22" s="27" t="s">
        <v>180</v>
      </c>
      <c r="D22" s="23"/>
    </row>
    <row r="23" spans="2:4" x14ac:dyDescent="0.25">
      <c r="B23" s="27" t="s">
        <v>181</v>
      </c>
      <c r="C23" s="27" t="s">
        <v>182</v>
      </c>
      <c r="D23" s="23"/>
    </row>
    <row r="24" spans="2:4" x14ac:dyDescent="0.25">
      <c r="B24" s="27" t="s">
        <v>201</v>
      </c>
      <c r="C24" s="27" t="s">
        <v>183</v>
      </c>
      <c r="D24" s="23"/>
    </row>
    <row r="25" spans="2:4" x14ac:dyDescent="0.25">
      <c r="B25" s="27" t="s">
        <v>202</v>
      </c>
      <c r="C25" s="27" t="s">
        <v>184</v>
      </c>
      <c r="D25" s="23"/>
    </row>
    <row r="28" spans="2:4" x14ac:dyDescent="0.25">
      <c r="B28" t="s">
        <v>36</v>
      </c>
    </row>
    <row r="29" spans="2:4" x14ac:dyDescent="0.25">
      <c r="B29" s="27" t="s">
        <v>187</v>
      </c>
      <c r="C29" s="27" t="s">
        <v>207</v>
      </c>
    </row>
    <row r="30" spans="2:4" x14ac:dyDescent="0.25">
      <c r="B30" s="27" t="s">
        <v>185</v>
      </c>
      <c r="C30" s="27" t="s">
        <v>208</v>
      </c>
    </row>
    <row r="31" spans="2:4" x14ac:dyDescent="0.25">
      <c r="B31" s="27" t="s">
        <v>186</v>
      </c>
      <c r="C31" s="27" t="s">
        <v>209</v>
      </c>
    </row>
    <row r="32" spans="2:4" x14ac:dyDescent="0.25">
      <c r="B32" s="27" t="s">
        <v>188</v>
      </c>
      <c r="C32" s="27" t="s">
        <v>210</v>
      </c>
    </row>
    <row r="33" spans="2:3" x14ac:dyDescent="0.25">
      <c r="B33" s="27" t="s">
        <v>189</v>
      </c>
      <c r="C33" s="27" t="s">
        <v>211</v>
      </c>
    </row>
    <row r="34" spans="2:3" x14ac:dyDescent="0.25">
      <c r="B34" s="27" t="s">
        <v>190</v>
      </c>
      <c r="C34" s="27" t="s">
        <v>212</v>
      </c>
    </row>
    <row r="35" spans="2:3" x14ac:dyDescent="0.25">
      <c r="B35" s="27" t="s">
        <v>15</v>
      </c>
      <c r="C35" s="27" t="s">
        <v>213</v>
      </c>
    </row>
    <row r="36" spans="2:3" x14ac:dyDescent="0.25">
      <c r="B36" s="27"/>
      <c r="C36" s="27"/>
    </row>
    <row r="37" spans="2:3" x14ac:dyDescent="0.25">
      <c r="B37" s="27"/>
      <c r="C37" s="27"/>
    </row>
    <row r="38" spans="2:3" x14ac:dyDescent="0.25">
      <c r="B38" s="27"/>
      <c r="C38" s="27"/>
    </row>
    <row r="41" spans="2:3" x14ac:dyDescent="0.25">
      <c r="B41" t="s">
        <v>200</v>
      </c>
    </row>
    <row r="42" spans="2:3" x14ac:dyDescent="0.25">
      <c r="B42" s="27" t="s">
        <v>187</v>
      </c>
      <c r="C42" s="27" t="s">
        <v>204</v>
      </c>
    </row>
    <row r="43" spans="2:3" x14ac:dyDescent="0.25">
      <c r="B43" s="27" t="s">
        <v>185</v>
      </c>
      <c r="C43" s="27" t="s">
        <v>205</v>
      </c>
    </row>
    <row r="44" spans="2:3" x14ac:dyDescent="0.25">
      <c r="B44" s="27" t="s">
        <v>186</v>
      </c>
      <c r="C44" s="27" t="s">
        <v>214</v>
      </c>
    </row>
    <row r="45" spans="2:3" x14ac:dyDescent="0.25">
      <c r="B45" s="27" t="s">
        <v>188</v>
      </c>
      <c r="C45" s="27" t="s">
        <v>215</v>
      </c>
    </row>
    <row r="46" spans="2:3" x14ac:dyDescent="0.25">
      <c r="B46" s="27" t="s">
        <v>189</v>
      </c>
      <c r="C46" s="27" t="s">
        <v>216</v>
      </c>
    </row>
    <row r="47" spans="2:3" x14ac:dyDescent="0.25">
      <c r="B47" s="27" t="s">
        <v>190</v>
      </c>
      <c r="C47" s="27" t="s">
        <v>217</v>
      </c>
    </row>
    <row r="48" spans="2:3" x14ac:dyDescent="0.25">
      <c r="B48" s="27" t="s">
        <v>15</v>
      </c>
      <c r="C48" s="27" t="s">
        <v>218</v>
      </c>
    </row>
    <row r="49" spans="2:3" x14ac:dyDescent="0.25">
      <c r="B49" s="27"/>
      <c r="C49" s="27"/>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Paradas Gerais</vt:lpstr>
      <vt:lpstr>Planilha1</vt:lpstr>
      <vt:lpstr>QF-AO - CPHD</vt:lpstr>
      <vt:lpstr>QF-AO - Líquidos</vt:lpstr>
      <vt:lpstr>QF-AO - SPPV</vt:lpstr>
      <vt:lpstr>AJOP SPEP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Savio Rafael</dc:creator>
  <cp:lastModifiedBy>Savio Rafael</cp:lastModifiedBy>
  <cp:lastPrinted>2024-12-16T17:42:17Z</cp:lastPrinted>
  <dcterms:created xsi:type="dcterms:W3CDTF">2015-06-05T18:19:34Z</dcterms:created>
  <dcterms:modified xsi:type="dcterms:W3CDTF">2026-01-19T14:03:46Z</dcterms:modified>
</cp:coreProperties>
</file>